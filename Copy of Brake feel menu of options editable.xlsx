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yton.fellman\Desktop\"/>
    </mc:Choice>
  </mc:AlternateContent>
  <xr:revisionPtr revIDLastSave="0" documentId="13_ncr:1_{3A00E264-D965-4FFC-AC60-C29E8850E08C}" xr6:coauthVersionLast="47" xr6:coauthVersionMax="47" xr10:uidLastSave="{00000000-0000-0000-0000-000000000000}"/>
  <bookViews>
    <workbookView xWindow="-120" yWindow="-120" windowWidth="29040" windowHeight="15840" tabRatio="884" activeTab="4" xr2:uid="{4212F05F-1326-43E6-B82E-CDA38701F540}"/>
  </bookViews>
  <sheets>
    <sheet name="ReadMe" sheetId="57" r:id="rId1"/>
    <sheet name="Brake capability" sheetId="27" r:id="rId2"/>
    <sheet name="pedal model" sheetId="42" r:id="rId3"/>
    <sheet name="Brake feel deisgn space" sheetId="28" r:id="rId4"/>
    <sheet name="engine run install" sheetId="56" r:id="rId5"/>
    <sheet name="master cylinder spring" sheetId="39" r:id="rId6"/>
    <sheet name="429 brake feel test" sheetId="58" r:id="rId7"/>
  </sheets>
  <externalReferences>
    <externalReference r:id="rId8"/>
    <externalReference r:id="rId9"/>
  </externalReferences>
  <definedNames>
    <definedName name="MC_Bore_Area">[1]GeomAndTestNotes!$B$3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58" l="1" a="1"/>
  <c r="T9" i="58" s="1"/>
  <c r="I84" i="56"/>
  <c r="I85" i="56"/>
  <c r="I86" i="56"/>
  <c r="I87" i="56"/>
  <c r="I88" i="56"/>
  <c r="I89" i="56"/>
  <c r="I90" i="56"/>
  <c r="I91" i="56"/>
  <c r="I83" i="56"/>
  <c r="L84" i="56"/>
  <c r="L85" i="56"/>
  <c r="L86" i="56"/>
  <c r="L87" i="56"/>
  <c r="L88" i="56"/>
  <c r="L89" i="56"/>
  <c r="L90" i="56"/>
  <c r="L91" i="56"/>
  <c r="L83" i="56"/>
  <c r="T5" i="58"/>
  <c r="T6" i="58"/>
  <c r="T7" i="58"/>
  <c r="T4" i="58"/>
  <c r="S4" i="58"/>
  <c r="S5" i="58"/>
  <c r="S6" i="58"/>
  <c r="S7" i="58"/>
  <c r="R5" i="58"/>
  <c r="R6" i="58"/>
  <c r="R7" i="58"/>
  <c r="R4" i="58"/>
  <c r="K4" i="58"/>
  <c r="L4" i="58"/>
  <c r="N4" i="58"/>
  <c r="O4" i="58"/>
  <c r="P4" i="58"/>
  <c r="Q4" i="58"/>
  <c r="K5" i="58"/>
  <c r="L5" i="58"/>
  <c r="N5" i="58"/>
  <c r="O5" i="58"/>
  <c r="P5" i="58"/>
  <c r="Q5" i="58"/>
  <c r="K6" i="58"/>
  <c r="L6" i="58"/>
  <c r="N6" i="58"/>
  <c r="O6" i="58"/>
  <c r="P6" i="58"/>
  <c r="Q6" i="58"/>
  <c r="K7" i="58"/>
  <c r="L7" i="58"/>
  <c r="N7" i="58"/>
  <c r="O7" i="58"/>
  <c r="P7" i="58"/>
  <c r="Q7" i="58"/>
  <c r="Q66" i="56"/>
  <c r="Q67" i="56"/>
  <c r="Q68" i="56"/>
  <c r="Q69" i="56"/>
  <c r="Q70" i="56"/>
  <c r="Q71" i="56"/>
  <c r="Q72" i="56"/>
  <c r="Q73" i="56"/>
  <c r="Q74" i="56"/>
  <c r="Q75" i="56"/>
  <c r="Q76" i="56"/>
  <c r="Q77" i="56"/>
  <c r="Q65" i="56"/>
  <c r="L93" i="56"/>
  <c r="Z5" i="58"/>
  <c r="Z4" i="58"/>
  <c r="Z6" i="58"/>
  <c r="Z7" i="58"/>
  <c r="Y5" i="58"/>
  <c r="Y7" i="58"/>
  <c r="Y6" i="58"/>
  <c r="Y4" i="58"/>
  <c r="X4" i="58"/>
  <c r="C46" i="56" l="1"/>
  <c r="J22" i="42"/>
  <c r="J21" i="42"/>
  <c r="C30" i="56"/>
  <c r="S77" i="56" s="1"/>
  <c r="C29" i="56"/>
  <c r="C31" i="56"/>
  <c r="D3" i="39"/>
  <c r="D4" i="39"/>
  <c r="D5" i="39"/>
  <c r="D6" i="39"/>
  <c r="D7" i="39"/>
  <c r="D8" i="39"/>
  <c r="D9" i="39"/>
  <c r="D10" i="39"/>
  <c r="D11" i="39"/>
  <c r="D12" i="39"/>
  <c r="D2" i="39"/>
  <c r="J28" i="42"/>
  <c r="N29" i="42"/>
  <c r="C50" i="56" l="1"/>
  <c r="A30" i="42"/>
  <c r="A31" i="42" s="1"/>
  <c r="A32" i="42" s="1"/>
  <c r="A33" i="42" s="1"/>
  <c r="A34" i="42" s="1"/>
  <c r="A35" i="42" s="1"/>
  <c r="A36" i="42" s="1"/>
  <c r="A37" i="42" s="1"/>
  <c r="A38" i="42" s="1"/>
  <c r="N30" i="42"/>
  <c r="N31" i="42"/>
  <c r="N32" i="42"/>
  <c r="N33" i="42"/>
  <c r="N34" i="42"/>
  <c r="N35" i="42"/>
  <c r="N36" i="42"/>
  <c r="N37" i="42"/>
  <c r="N38" i="42"/>
  <c r="B5" i="39"/>
  <c r="C2" i="39"/>
  <c r="C7" i="39"/>
  <c r="AP57" i="56"/>
  <c r="AP58" i="56" s="1"/>
  <c r="AM57" i="56"/>
  <c r="AM58" i="56" s="1"/>
  <c r="AP55" i="56"/>
  <c r="AM55" i="56"/>
  <c r="AJ57" i="56"/>
  <c r="AJ58" i="56" s="1"/>
  <c r="AJ55" i="56"/>
  <c r="AG57" i="56"/>
  <c r="AG58" i="56" s="1"/>
  <c r="AG55" i="56"/>
  <c r="C11" i="27"/>
  <c r="D8" i="27"/>
  <c r="D9" i="27"/>
  <c r="D10" i="27"/>
  <c r="D11" i="27"/>
  <c r="D12" i="27"/>
  <c r="D13" i="27"/>
  <c r="D14" i="27"/>
  <c r="D15" i="27"/>
  <c r="D16" i="27"/>
  <c r="D7" i="27"/>
  <c r="C8" i="27"/>
  <c r="C9" i="27"/>
  <c r="C10" i="27"/>
  <c r="C12" i="27"/>
  <c r="C13" i="27"/>
  <c r="C14" i="27"/>
  <c r="C15" i="27"/>
  <c r="C16" i="27"/>
  <c r="C7" i="27"/>
  <c r="AA57" i="56"/>
  <c r="AA58" i="56" s="1"/>
  <c r="AD57" i="56"/>
  <c r="AD58" i="56" s="1"/>
  <c r="AD55" i="56"/>
  <c r="AA55" i="56"/>
  <c r="S56" i="56"/>
  <c r="C35" i="56"/>
  <c r="AD59" i="56" s="1"/>
  <c r="C32" i="56"/>
  <c r="C26" i="56"/>
  <c r="F57" i="56" s="1"/>
  <c r="C22" i="56"/>
  <c r="C23" i="56" s="1"/>
  <c r="C21" i="56"/>
  <c r="C17" i="56"/>
  <c r="C15" i="56"/>
  <c r="C13" i="56"/>
  <c r="C11" i="56"/>
  <c r="F65" i="56" s="1"/>
  <c r="C9" i="56"/>
  <c r="C6" i="56"/>
  <c r="C7" i="56" s="1"/>
  <c r="B29" i="42" a="1"/>
  <c r="B30" i="42" a="1"/>
  <c r="L65" i="56" l="1"/>
  <c r="R65" i="56" s="1"/>
  <c r="B30" i="42"/>
  <c r="B29" i="42"/>
  <c r="C66" i="56"/>
  <c r="D66" i="56" s="1"/>
  <c r="E66" i="56" s="1"/>
  <c r="C65" i="56"/>
  <c r="D65" i="56" s="1"/>
  <c r="AG59" i="56"/>
  <c r="AJ59" i="56"/>
  <c r="AM59" i="56"/>
  <c r="AP59" i="56"/>
  <c r="B7" i="39"/>
  <c r="AA59" i="56"/>
  <c r="C3" i="56"/>
  <c r="B68" i="56" s="1"/>
  <c r="B67" i="56" s="1"/>
  <c r="B16" i="42"/>
  <c r="I22" i="42"/>
  <c r="I23" i="42" s="1"/>
  <c r="J23" i="42" s="1"/>
  <c r="F66" i="56" l="1"/>
  <c r="S66" i="56" s="1"/>
  <c r="I24" i="42"/>
  <c r="O65" i="56"/>
  <c r="T65" i="56" s="1"/>
  <c r="M65" i="56"/>
  <c r="C67" i="56"/>
  <c r="C68" i="56"/>
  <c r="G66" i="56"/>
  <c r="H66" i="56" s="1"/>
  <c r="I66" i="56" s="1"/>
  <c r="G65" i="56"/>
  <c r="B8" i="39"/>
  <c r="B11" i="39"/>
  <c r="B69" i="56"/>
  <c r="H21" i="42"/>
  <c r="H22" i="42" s="1"/>
  <c r="H23" i="42" s="1"/>
  <c r="H24" i="42" s="1"/>
  <c r="G21" i="42"/>
  <c r="G22" i="42" s="1"/>
  <c r="G23" i="42" s="1"/>
  <c r="G24" i="42" s="1"/>
  <c r="B31" i="42" a="1"/>
  <c r="J24" i="42" l="1"/>
  <c r="F59" i="56" s="1"/>
  <c r="K69" i="56" s="1"/>
  <c r="G67" i="56"/>
  <c r="D67" i="56"/>
  <c r="E67" i="56" s="1"/>
  <c r="D68" i="56"/>
  <c r="E68" i="56" s="1"/>
  <c r="G68" i="56"/>
  <c r="B31" i="42"/>
  <c r="B12" i="39"/>
  <c r="H65" i="56"/>
  <c r="I65" i="56" s="1"/>
  <c r="C69" i="56"/>
  <c r="B70" i="56"/>
  <c r="B14" i="42"/>
  <c r="W84" i="56"/>
  <c r="B32" i="42" a="1"/>
  <c r="W85" i="56"/>
  <c r="W100" i="56"/>
  <c r="W101" i="56"/>
  <c r="W66" i="56"/>
  <c r="W65" i="56"/>
  <c r="K68" i="56" l="1"/>
  <c r="L68" i="56" s="1"/>
  <c r="M68" i="56" s="1"/>
  <c r="K67" i="56"/>
  <c r="L67" i="56" s="1"/>
  <c r="M67" i="56" s="1"/>
  <c r="K70" i="56"/>
  <c r="L70" i="56" s="1"/>
  <c r="K66" i="56"/>
  <c r="L66" i="56" s="1"/>
  <c r="L69" i="56"/>
  <c r="R69" i="56" s="1"/>
  <c r="F67" i="56"/>
  <c r="S67" i="56" s="1"/>
  <c r="H67" i="56"/>
  <c r="I67" i="56" s="1"/>
  <c r="F68" i="56"/>
  <c r="S68" i="56" s="1"/>
  <c r="H68" i="56"/>
  <c r="I68" i="56" s="1"/>
  <c r="X85" i="56"/>
  <c r="Y85" i="56" s="1"/>
  <c r="Z85" i="56" s="1"/>
  <c r="AA85" i="56" s="1"/>
  <c r="X66" i="56"/>
  <c r="Y66" i="56" s="1"/>
  <c r="Z66" i="56" s="1"/>
  <c r="AA66" i="56" s="1"/>
  <c r="X101" i="56"/>
  <c r="Y101" i="56" s="1"/>
  <c r="Z101" i="56" s="1"/>
  <c r="AA101" i="56" s="1"/>
  <c r="B32" i="42"/>
  <c r="X65" i="56"/>
  <c r="Y65" i="56" s="1"/>
  <c r="X100" i="56"/>
  <c r="X84" i="56"/>
  <c r="B71" i="56"/>
  <c r="K71" i="56" s="1"/>
  <c r="C70" i="56"/>
  <c r="D69" i="56"/>
  <c r="G69" i="56"/>
  <c r="B17" i="42"/>
  <c r="B18" i="42" s="1"/>
  <c r="W67" i="56"/>
  <c r="W102" i="56"/>
  <c r="W86" i="56"/>
  <c r="W68" i="56"/>
  <c r="B33" i="42" a="1"/>
  <c r="M66" i="56" l="1"/>
  <c r="O66" i="56"/>
  <c r="R66" i="56"/>
  <c r="O69" i="56"/>
  <c r="M69" i="56"/>
  <c r="O67" i="56"/>
  <c r="R68" i="56"/>
  <c r="O68" i="56"/>
  <c r="R67" i="56"/>
  <c r="X67" i="56"/>
  <c r="X68" i="56"/>
  <c r="O70" i="56"/>
  <c r="AH66" i="56"/>
  <c r="AI66" i="56" s="1"/>
  <c r="AJ66" i="56" s="1"/>
  <c r="AN66" i="56"/>
  <c r="AO66" i="56" s="1"/>
  <c r="AP66" i="56" s="1"/>
  <c r="AE66" i="56"/>
  <c r="AF66" i="56" s="1"/>
  <c r="AG66" i="56" s="1"/>
  <c r="AK66" i="56"/>
  <c r="AL66" i="56" s="1"/>
  <c r="AM66" i="56" s="1"/>
  <c r="AB85" i="56"/>
  <c r="AC85" i="56" s="1"/>
  <c r="AD85" i="56" s="1"/>
  <c r="AB66" i="56"/>
  <c r="AC66" i="56" s="1"/>
  <c r="AD66" i="56" s="1"/>
  <c r="AB101" i="56"/>
  <c r="AC101" i="56" s="1"/>
  <c r="AD101" i="56" s="1"/>
  <c r="B33" i="42"/>
  <c r="C33" i="42" s="1"/>
  <c r="AB84" i="56"/>
  <c r="AC84" i="56" s="1"/>
  <c r="AD84" i="56" s="1"/>
  <c r="Y84" i="56"/>
  <c r="Z84" i="56" s="1"/>
  <c r="AA84" i="56" s="1"/>
  <c r="AB100" i="56"/>
  <c r="AC100" i="56" s="1"/>
  <c r="AD100" i="56" s="1"/>
  <c r="Y100" i="56"/>
  <c r="Z100" i="56" s="1"/>
  <c r="AA100" i="56" s="1"/>
  <c r="AE65" i="56"/>
  <c r="AF65" i="56" s="1"/>
  <c r="AG65" i="56" s="1"/>
  <c r="AB65" i="56"/>
  <c r="AC65" i="56" s="1"/>
  <c r="AD65" i="56" s="1"/>
  <c r="AN65" i="56"/>
  <c r="AO65" i="56" s="1"/>
  <c r="AP65" i="56" s="1"/>
  <c r="AK65" i="56"/>
  <c r="AL65" i="56" s="1"/>
  <c r="AM65" i="56" s="1"/>
  <c r="Z65" i="56"/>
  <c r="AA65" i="56" s="1"/>
  <c r="AH65" i="56"/>
  <c r="AI65" i="56" s="1"/>
  <c r="AJ65" i="56" s="1"/>
  <c r="X102" i="56"/>
  <c r="X86" i="56"/>
  <c r="H69" i="56"/>
  <c r="I69" i="56" s="1"/>
  <c r="D70" i="56"/>
  <c r="G70" i="56"/>
  <c r="L71" i="56"/>
  <c r="C71" i="56"/>
  <c r="B72" i="56"/>
  <c r="K72" i="56" s="1"/>
  <c r="R70" i="56"/>
  <c r="M70" i="56"/>
  <c r="E69" i="56"/>
  <c r="F69" i="56" s="1"/>
  <c r="D32" i="42"/>
  <c r="D31" i="42"/>
  <c r="C29" i="42"/>
  <c r="C32" i="42"/>
  <c r="C31" i="42"/>
  <c r="C30" i="42"/>
  <c r="D29" i="42"/>
  <c r="B19" i="42"/>
  <c r="D30" i="42"/>
  <c r="W103" i="56"/>
  <c r="W69" i="56"/>
  <c r="W87" i="56"/>
  <c r="B34" i="42" a="1"/>
  <c r="T66" i="56" l="1"/>
  <c r="S69" i="56"/>
  <c r="T69" i="56" s="1"/>
  <c r="T67" i="56"/>
  <c r="T68" i="56"/>
  <c r="AK67" i="56"/>
  <c r="AL67" i="56" s="1"/>
  <c r="AM67" i="56" s="1"/>
  <c r="Y67" i="56"/>
  <c r="Z67" i="56" s="1"/>
  <c r="AA67" i="56" s="1"/>
  <c r="AN67" i="56"/>
  <c r="AO67" i="56" s="1"/>
  <c r="AP67" i="56" s="1"/>
  <c r="AH67" i="56"/>
  <c r="AI67" i="56" s="1"/>
  <c r="AJ67" i="56" s="1"/>
  <c r="AB67" i="56"/>
  <c r="AC67" i="56" s="1"/>
  <c r="AD67" i="56" s="1"/>
  <c r="AE67" i="56"/>
  <c r="AF67" i="56" s="1"/>
  <c r="AG67" i="56" s="1"/>
  <c r="AH68" i="56"/>
  <c r="AI68" i="56" s="1"/>
  <c r="AJ68" i="56" s="1"/>
  <c r="Y68" i="56"/>
  <c r="Z68" i="56" s="1"/>
  <c r="AA68" i="56" s="1"/>
  <c r="AK68" i="56"/>
  <c r="AL68" i="56" s="1"/>
  <c r="AM68" i="56" s="1"/>
  <c r="AE68" i="56"/>
  <c r="AF68" i="56" s="1"/>
  <c r="AG68" i="56" s="1"/>
  <c r="AB68" i="56"/>
  <c r="AC68" i="56" s="1"/>
  <c r="AD68" i="56" s="1"/>
  <c r="AN68" i="56"/>
  <c r="AO68" i="56" s="1"/>
  <c r="AP68" i="56" s="1"/>
  <c r="O71" i="56"/>
  <c r="D33" i="42"/>
  <c r="E33" i="42" s="1"/>
  <c r="K33" i="42" s="1"/>
  <c r="B34" i="42"/>
  <c r="X103" i="56"/>
  <c r="X87" i="56"/>
  <c r="X69" i="56"/>
  <c r="Y102" i="56"/>
  <c r="Z102" i="56" s="1"/>
  <c r="AA102" i="56" s="1"/>
  <c r="AB102" i="56"/>
  <c r="AC102" i="56" s="1"/>
  <c r="AD102" i="56" s="1"/>
  <c r="H70" i="56"/>
  <c r="I70" i="56" s="1"/>
  <c r="Y86" i="56"/>
  <c r="Z86" i="56" s="1"/>
  <c r="AA86" i="56" s="1"/>
  <c r="AB86" i="56"/>
  <c r="AC86" i="56" s="1"/>
  <c r="AD86" i="56" s="1"/>
  <c r="D71" i="56"/>
  <c r="G71" i="56"/>
  <c r="M71" i="56"/>
  <c r="R71" i="56"/>
  <c r="B73" i="56"/>
  <c r="K73" i="56" s="1"/>
  <c r="L72" i="56"/>
  <c r="C72" i="56"/>
  <c r="E70" i="56"/>
  <c r="F70" i="56" s="1"/>
  <c r="E29" i="42"/>
  <c r="K29" i="42" s="1"/>
  <c r="F32" i="42"/>
  <c r="E30" i="42"/>
  <c r="K30" i="42" s="1"/>
  <c r="E31" i="42"/>
  <c r="K31" i="42" s="1"/>
  <c r="E32" i="42"/>
  <c r="K32" i="42" s="1"/>
  <c r="F29" i="42"/>
  <c r="F30" i="42"/>
  <c r="F31" i="42"/>
  <c r="W70" i="56"/>
  <c r="B35" i="42" a="1"/>
  <c r="W104" i="56"/>
  <c r="W88" i="56"/>
  <c r="S70" i="56" l="1"/>
  <c r="T70" i="56" s="1"/>
  <c r="O72" i="56"/>
  <c r="F33" i="42"/>
  <c r="I33" i="42" s="1"/>
  <c r="B35" i="42"/>
  <c r="C34" i="42"/>
  <c r="D34" i="42"/>
  <c r="X104" i="56"/>
  <c r="X88" i="56"/>
  <c r="X70" i="56"/>
  <c r="AH69" i="56"/>
  <c r="AI69" i="56" s="1"/>
  <c r="AJ69" i="56" s="1"/>
  <c r="AE69" i="56"/>
  <c r="AF69" i="56" s="1"/>
  <c r="AG69" i="56" s="1"/>
  <c r="AK69" i="56"/>
  <c r="AL69" i="56" s="1"/>
  <c r="AM69" i="56" s="1"/>
  <c r="AN69" i="56"/>
  <c r="AO69" i="56" s="1"/>
  <c r="AP69" i="56" s="1"/>
  <c r="AB103" i="56"/>
  <c r="AC103" i="56" s="1"/>
  <c r="AD103" i="56" s="1"/>
  <c r="Y103" i="56"/>
  <c r="Z103" i="56" s="1"/>
  <c r="AA103" i="56" s="1"/>
  <c r="H71" i="56"/>
  <c r="I71" i="56" s="1"/>
  <c r="Y69" i="56"/>
  <c r="Z69" i="56" s="1"/>
  <c r="AA69" i="56" s="1"/>
  <c r="Y87" i="56"/>
  <c r="Z87" i="56" s="1"/>
  <c r="AA87" i="56" s="1"/>
  <c r="AB87" i="56"/>
  <c r="AC87" i="56" s="1"/>
  <c r="AD87" i="56" s="1"/>
  <c r="AB69" i="56"/>
  <c r="AC69" i="56" s="1"/>
  <c r="AD69" i="56" s="1"/>
  <c r="E71" i="56"/>
  <c r="F71" i="56" s="1"/>
  <c r="D72" i="56"/>
  <c r="G72" i="56"/>
  <c r="L73" i="56"/>
  <c r="C73" i="56"/>
  <c r="B74" i="56"/>
  <c r="K74" i="56" s="1"/>
  <c r="R72" i="56"/>
  <c r="M72" i="56"/>
  <c r="G29" i="42"/>
  <c r="G31" i="42"/>
  <c r="H31" i="42"/>
  <c r="J31" i="42" s="1"/>
  <c r="I31" i="42"/>
  <c r="G32" i="42"/>
  <c r="H32" i="42"/>
  <c r="J32" i="42" s="1"/>
  <c r="I32" i="42"/>
  <c r="H30" i="42"/>
  <c r="J30" i="42" s="1"/>
  <c r="G30" i="42"/>
  <c r="I30" i="42"/>
  <c r="H29" i="42"/>
  <c r="J29" i="42" s="1"/>
  <c r="I29" i="42"/>
  <c r="M31" i="42"/>
  <c r="M33" i="42"/>
  <c r="M30" i="42"/>
  <c r="M32" i="42"/>
  <c r="M29" i="42"/>
  <c r="W4" i="58"/>
  <c r="W71" i="56"/>
  <c r="B36" i="42" a="1"/>
  <c r="W105" i="56"/>
  <c r="W89" i="56"/>
  <c r="S71" i="56" l="1"/>
  <c r="T71" i="56" s="1"/>
  <c r="O73" i="56"/>
  <c r="H33" i="42"/>
  <c r="J33" i="42" s="1"/>
  <c r="G33" i="42"/>
  <c r="B36" i="42"/>
  <c r="F34" i="42"/>
  <c r="E34" i="42"/>
  <c r="K34" i="42" s="1"/>
  <c r="M34" i="42" s="1"/>
  <c r="C35" i="42"/>
  <c r="D35" i="42"/>
  <c r="X105" i="56"/>
  <c r="X89" i="56"/>
  <c r="X71" i="56"/>
  <c r="Y104" i="56"/>
  <c r="Z104" i="56" s="1"/>
  <c r="AA104" i="56" s="1"/>
  <c r="AB104" i="56"/>
  <c r="AC104" i="56" s="1"/>
  <c r="AD104" i="56" s="1"/>
  <c r="Y88" i="56"/>
  <c r="Z88" i="56" s="1"/>
  <c r="AA88" i="56" s="1"/>
  <c r="AB88" i="56"/>
  <c r="AC88" i="56" s="1"/>
  <c r="AD88" i="56" s="1"/>
  <c r="AK70" i="56"/>
  <c r="AL70" i="56" s="1"/>
  <c r="AM70" i="56" s="1"/>
  <c r="AE70" i="56"/>
  <c r="AF70" i="56" s="1"/>
  <c r="AG70" i="56" s="1"/>
  <c r="AH70" i="56"/>
  <c r="AI70" i="56" s="1"/>
  <c r="AJ70" i="56" s="1"/>
  <c r="AN70" i="56"/>
  <c r="AO70" i="56" s="1"/>
  <c r="AP70" i="56" s="1"/>
  <c r="AB70" i="56"/>
  <c r="AC70" i="56" s="1"/>
  <c r="AD70" i="56" s="1"/>
  <c r="Y70" i="56"/>
  <c r="Z70" i="56" s="1"/>
  <c r="AA70" i="56" s="1"/>
  <c r="H72" i="56"/>
  <c r="I72" i="56" s="1"/>
  <c r="D73" i="56"/>
  <c r="G73" i="56"/>
  <c r="E72" i="56"/>
  <c r="F72" i="56" s="1"/>
  <c r="M73" i="56"/>
  <c r="R73" i="56"/>
  <c r="B75" i="56"/>
  <c r="B76" i="56" s="1"/>
  <c r="L74" i="56"/>
  <c r="C74" i="56"/>
  <c r="W90" i="56"/>
  <c r="W106" i="56"/>
  <c r="B37" i="42" a="1"/>
  <c r="W72" i="56"/>
  <c r="X5" i="58"/>
  <c r="S72" i="56" l="1"/>
  <c r="T72" i="56" s="1"/>
  <c r="K75" i="56"/>
  <c r="O74" i="56"/>
  <c r="B37" i="42"/>
  <c r="F35" i="42"/>
  <c r="E35" i="42"/>
  <c r="K35" i="42" s="1"/>
  <c r="M35" i="42" s="1"/>
  <c r="H34" i="42"/>
  <c r="J34" i="42" s="1"/>
  <c r="G34" i="42"/>
  <c r="I34" i="42"/>
  <c r="D36" i="42"/>
  <c r="C36" i="42"/>
  <c r="X90" i="56"/>
  <c r="X106" i="56"/>
  <c r="X72" i="56"/>
  <c r="AE71" i="56"/>
  <c r="AF71" i="56" s="1"/>
  <c r="AG71" i="56" s="1"/>
  <c r="AN71" i="56"/>
  <c r="AO71" i="56" s="1"/>
  <c r="AP71" i="56" s="1"/>
  <c r="AK71" i="56"/>
  <c r="AL71" i="56" s="1"/>
  <c r="AM71" i="56" s="1"/>
  <c r="AH71" i="56"/>
  <c r="AI71" i="56" s="1"/>
  <c r="AJ71" i="56" s="1"/>
  <c r="Y89" i="56"/>
  <c r="Z89" i="56" s="1"/>
  <c r="AA89" i="56" s="1"/>
  <c r="AB89" i="56"/>
  <c r="AC89" i="56" s="1"/>
  <c r="AD89" i="56" s="1"/>
  <c r="AB105" i="56"/>
  <c r="AC105" i="56" s="1"/>
  <c r="AD105" i="56" s="1"/>
  <c r="Y105" i="56"/>
  <c r="Z105" i="56" s="1"/>
  <c r="AA105" i="56" s="1"/>
  <c r="Y71" i="56"/>
  <c r="Z71" i="56" s="1"/>
  <c r="AA71" i="56" s="1"/>
  <c r="H73" i="56"/>
  <c r="I73" i="56" s="1"/>
  <c r="AB71" i="56"/>
  <c r="AC71" i="56" s="1"/>
  <c r="AD71" i="56" s="1"/>
  <c r="E73" i="56"/>
  <c r="F73" i="56" s="1"/>
  <c r="D74" i="56"/>
  <c r="G74" i="56"/>
  <c r="R74" i="56"/>
  <c r="M74" i="56"/>
  <c r="C75" i="56"/>
  <c r="W91" i="56"/>
  <c r="W107" i="56"/>
  <c r="W73" i="56"/>
  <c r="W5" i="58"/>
  <c r="B38" i="42" a="1"/>
  <c r="S73" i="56" l="1"/>
  <c r="T73" i="56" s="1"/>
  <c r="L75" i="56"/>
  <c r="O75" i="56" s="1"/>
  <c r="K76" i="56"/>
  <c r="C76" i="56"/>
  <c r="B38" i="42"/>
  <c r="E36" i="42"/>
  <c r="K36" i="42" s="1"/>
  <c r="M36" i="42" s="1"/>
  <c r="F36" i="42"/>
  <c r="I35" i="42"/>
  <c r="G35" i="42"/>
  <c r="H35" i="42"/>
  <c r="J35" i="42" s="1"/>
  <c r="D37" i="42"/>
  <c r="C37" i="42"/>
  <c r="X107" i="56"/>
  <c r="X91" i="56"/>
  <c r="X73" i="56"/>
  <c r="AN72" i="56"/>
  <c r="AO72" i="56" s="1"/>
  <c r="AP72" i="56" s="1"/>
  <c r="AK72" i="56"/>
  <c r="AL72" i="56" s="1"/>
  <c r="AM72" i="56" s="1"/>
  <c r="AE72" i="56"/>
  <c r="AF72" i="56" s="1"/>
  <c r="AG72" i="56" s="1"/>
  <c r="AH72" i="56"/>
  <c r="AI72" i="56" s="1"/>
  <c r="AJ72" i="56" s="1"/>
  <c r="AB72" i="56"/>
  <c r="AC72" i="56" s="1"/>
  <c r="AD72" i="56" s="1"/>
  <c r="Y90" i="56"/>
  <c r="Z90" i="56" s="1"/>
  <c r="AA90" i="56" s="1"/>
  <c r="AB90" i="56"/>
  <c r="AC90" i="56" s="1"/>
  <c r="AD90" i="56" s="1"/>
  <c r="H74" i="56"/>
  <c r="I74" i="56" s="1"/>
  <c r="Y72" i="56"/>
  <c r="Z72" i="56" s="1"/>
  <c r="AA72" i="56" s="1"/>
  <c r="AB106" i="56"/>
  <c r="AC106" i="56" s="1"/>
  <c r="AD106" i="56" s="1"/>
  <c r="Y106" i="56"/>
  <c r="Z106" i="56" s="1"/>
  <c r="AA106" i="56" s="1"/>
  <c r="E74" i="56"/>
  <c r="F74" i="56" s="1"/>
  <c r="B77" i="56"/>
  <c r="K77" i="56" s="1"/>
  <c r="D75" i="56"/>
  <c r="G75" i="56"/>
  <c r="W108" i="56"/>
  <c r="X6" i="58"/>
  <c r="W74" i="56"/>
  <c r="W92" i="56"/>
  <c r="S74" i="56" l="1"/>
  <c r="T74" i="56" s="1"/>
  <c r="R75" i="56"/>
  <c r="M75" i="56"/>
  <c r="L76" i="56"/>
  <c r="G76" i="56"/>
  <c r="D76" i="56"/>
  <c r="E76" i="56" s="1"/>
  <c r="F76" i="56" s="1"/>
  <c r="S76" i="56" s="1"/>
  <c r="F37" i="42"/>
  <c r="E37" i="42"/>
  <c r="K37" i="42" s="1"/>
  <c r="M37" i="42" s="1"/>
  <c r="G36" i="42"/>
  <c r="I36" i="42"/>
  <c r="H36" i="42"/>
  <c r="J36" i="42" s="1"/>
  <c r="D38" i="42"/>
  <c r="C38" i="42"/>
  <c r="X92" i="56"/>
  <c r="X108" i="56"/>
  <c r="X74" i="56"/>
  <c r="AB74" i="56" s="1"/>
  <c r="AC74" i="56" s="1"/>
  <c r="AD74" i="56" s="1"/>
  <c r="AN73" i="56"/>
  <c r="AO73" i="56" s="1"/>
  <c r="AP73" i="56" s="1"/>
  <c r="AK73" i="56"/>
  <c r="AL73" i="56" s="1"/>
  <c r="AM73" i="56" s="1"/>
  <c r="AH73" i="56"/>
  <c r="AI73" i="56" s="1"/>
  <c r="AJ73" i="56" s="1"/>
  <c r="AE73" i="56"/>
  <c r="AF73" i="56" s="1"/>
  <c r="AG73" i="56" s="1"/>
  <c r="Y73" i="56"/>
  <c r="Z73" i="56" s="1"/>
  <c r="AA73" i="56" s="1"/>
  <c r="AB91" i="56"/>
  <c r="AC91" i="56" s="1"/>
  <c r="AD91" i="56" s="1"/>
  <c r="Y91" i="56"/>
  <c r="Z91" i="56" s="1"/>
  <c r="AA91" i="56" s="1"/>
  <c r="AB73" i="56"/>
  <c r="AC73" i="56" s="1"/>
  <c r="AD73" i="56" s="1"/>
  <c r="H75" i="56"/>
  <c r="I75" i="56" s="1"/>
  <c r="Y107" i="56"/>
  <c r="Z107" i="56" s="1"/>
  <c r="AA107" i="56" s="1"/>
  <c r="AB107" i="56"/>
  <c r="AC107" i="56" s="1"/>
  <c r="AD107" i="56" s="1"/>
  <c r="L77" i="56"/>
  <c r="C77" i="56"/>
  <c r="E75" i="56"/>
  <c r="F75" i="56" s="1"/>
  <c r="S75" i="56" s="1"/>
  <c r="W93" i="56"/>
  <c r="W109" i="56"/>
  <c r="W6" i="58"/>
  <c r="W75" i="56"/>
  <c r="C49" i="56"/>
  <c r="C51" i="56" l="1"/>
  <c r="M76" i="56"/>
  <c r="T75" i="56"/>
  <c r="O76" i="56"/>
  <c r="R76" i="56"/>
  <c r="H76" i="56"/>
  <c r="I76" i="56" s="1"/>
  <c r="O77" i="56"/>
  <c r="E38" i="42"/>
  <c r="K38" i="42" s="1"/>
  <c r="M38" i="42" s="1"/>
  <c r="F38" i="42"/>
  <c r="I37" i="42"/>
  <c r="G37" i="42"/>
  <c r="H37" i="42"/>
  <c r="J37" i="42" s="1"/>
  <c r="X93" i="56"/>
  <c r="X109" i="56"/>
  <c r="X75" i="56"/>
  <c r="Y75" i="56" s="1"/>
  <c r="Z75" i="56" s="1"/>
  <c r="AA75" i="56" s="1"/>
  <c r="AE74" i="56"/>
  <c r="AF74" i="56" s="1"/>
  <c r="AG74" i="56" s="1"/>
  <c r="AH74" i="56"/>
  <c r="AI74" i="56" s="1"/>
  <c r="AJ74" i="56" s="1"/>
  <c r="AN74" i="56"/>
  <c r="AO74" i="56" s="1"/>
  <c r="AP74" i="56" s="1"/>
  <c r="AK74" i="56"/>
  <c r="AL74" i="56" s="1"/>
  <c r="AM74" i="56" s="1"/>
  <c r="Y108" i="56"/>
  <c r="Z108" i="56" s="1"/>
  <c r="AA108" i="56" s="1"/>
  <c r="AB108" i="56"/>
  <c r="AC108" i="56" s="1"/>
  <c r="AD108" i="56" s="1"/>
  <c r="Y74" i="56"/>
  <c r="Z74" i="56" s="1"/>
  <c r="AA74" i="56" s="1"/>
  <c r="Y92" i="56"/>
  <c r="Z92" i="56" s="1"/>
  <c r="AA92" i="56" s="1"/>
  <c r="AB92" i="56"/>
  <c r="AC92" i="56" s="1"/>
  <c r="AD92" i="56" s="1"/>
  <c r="M77" i="56"/>
  <c r="R77" i="56"/>
  <c r="D77" i="56"/>
  <c r="G77" i="56"/>
  <c r="N73" i="56"/>
  <c r="N71" i="56"/>
  <c r="W94" i="56"/>
  <c r="N72" i="56"/>
  <c r="N69" i="56"/>
  <c r="O32" i="42"/>
  <c r="N76" i="56"/>
  <c r="N75" i="56"/>
  <c r="O37" i="42"/>
  <c r="W7" i="58"/>
  <c r="O29" i="42"/>
  <c r="W76" i="56"/>
  <c r="O35" i="42"/>
  <c r="N66" i="56"/>
  <c r="N70" i="56"/>
  <c r="O33" i="42"/>
  <c r="N68" i="56"/>
  <c r="N65" i="56"/>
  <c r="N67" i="56"/>
  <c r="W110" i="56"/>
  <c r="X7" i="58"/>
  <c r="O31" i="42"/>
  <c r="N77" i="56"/>
  <c r="O34" i="42"/>
  <c r="O30" i="42"/>
  <c r="O36" i="42"/>
  <c r="N74" i="56"/>
  <c r="O38" i="42"/>
  <c r="T76" i="56" l="1"/>
  <c r="X76" i="56"/>
  <c r="I38" i="42"/>
  <c r="G38" i="42"/>
  <c r="H38" i="42"/>
  <c r="J38" i="42" s="1"/>
  <c r="AB75" i="56"/>
  <c r="AC75" i="56" s="1"/>
  <c r="AD75" i="56" s="1"/>
  <c r="X110" i="56"/>
  <c r="X94" i="56"/>
  <c r="Y109" i="56"/>
  <c r="Z109" i="56" s="1"/>
  <c r="AA109" i="56" s="1"/>
  <c r="AB109" i="56"/>
  <c r="AC109" i="56" s="1"/>
  <c r="AD109" i="56" s="1"/>
  <c r="AB93" i="56"/>
  <c r="AC93" i="56" s="1"/>
  <c r="AD93" i="56" s="1"/>
  <c r="Y93" i="56"/>
  <c r="Z93" i="56" s="1"/>
  <c r="AA93" i="56" s="1"/>
  <c r="H77" i="56"/>
  <c r="I77" i="56" s="1"/>
  <c r="AN75" i="56"/>
  <c r="AO75" i="56" s="1"/>
  <c r="AP75" i="56" s="1"/>
  <c r="AK75" i="56"/>
  <c r="AL75" i="56" s="1"/>
  <c r="AM75" i="56" s="1"/>
  <c r="AE75" i="56"/>
  <c r="AF75" i="56" s="1"/>
  <c r="AG75" i="56" s="1"/>
  <c r="AH75" i="56"/>
  <c r="AI75" i="56" s="1"/>
  <c r="AJ75" i="56" s="1"/>
  <c r="T77" i="56"/>
  <c r="E77" i="56"/>
  <c r="P77" i="56"/>
  <c r="W111" i="56"/>
  <c r="P76" i="56"/>
  <c r="P70" i="56"/>
  <c r="P69" i="56"/>
  <c r="W95" i="56"/>
  <c r="P72" i="56"/>
  <c r="P66" i="56"/>
  <c r="P68" i="56"/>
  <c r="W77" i="56"/>
  <c r="C52" i="56"/>
  <c r="P73" i="56"/>
  <c r="P74" i="56"/>
  <c r="P67" i="56"/>
  <c r="C47" i="56"/>
  <c r="C41" i="56"/>
  <c r="P65" i="56"/>
  <c r="C44" i="56"/>
  <c r="P71" i="56"/>
  <c r="P75" i="56"/>
  <c r="U69" i="56" l="1"/>
  <c r="U71" i="56"/>
  <c r="U72" i="56"/>
  <c r="U73" i="56"/>
  <c r="U75" i="56"/>
  <c r="U74" i="56"/>
  <c r="U65" i="56"/>
  <c r="U66" i="56"/>
  <c r="U68" i="56"/>
  <c r="U70" i="56"/>
  <c r="U67" i="56"/>
  <c r="U76" i="56"/>
  <c r="AN76" i="56"/>
  <c r="AO76" i="56" s="1"/>
  <c r="AP76" i="56" s="1"/>
  <c r="Y76" i="56"/>
  <c r="Z76" i="56" s="1"/>
  <c r="AA76" i="56" s="1"/>
  <c r="AK76" i="56"/>
  <c r="AL76" i="56" s="1"/>
  <c r="AM76" i="56" s="1"/>
  <c r="AE76" i="56"/>
  <c r="AF76" i="56" s="1"/>
  <c r="AG76" i="56" s="1"/>
  <c r="AH76" i="56"/>
  <c r="AI76" i="56" s="1"/>
  <c r="AJ76" i="56" s="1"/>
  <c r="AB76" i="56"/>
  <c r="AC76" i="56" s="1"/>
  <c r="AD76" i="56" s="1"/>
  <c r="X111" i="56"/>
  <c r="X95" i="56"/>
  <c r="X77" i="56"/>
  <c r="AB94" i="56"/>
  <c r="AC94" i="56" s="1"/>
  <c r="AD94" i="56" s="1"/>
  <c r="Y94" i="56"/>
  <c r="Z94" i="56" s="1"/>
  <c r="AA94" i="56" s="1"/>
  <c r="AB110" i="56"/>
  <c r="AC110" i="56" s="1"/>
  <c r="AD110" i="56" s="1"/>
  <c r="Y110" i="56"/>
  <c r="Z110" i="56" s="1"/>
  <c r="AA110" i="56" s="1"/>
  <c r="C53" i="56"/>
  <c r="C42" i="56"/>
  <c r="C48" i="56"/>
  <c r="C45" i="56"/>
  <c r="AH77" i="56" l="1"/>
  <c r="AI77" i="56" s="1"/>
  <c r="AJ77" i="56" s="1"/>
  <c r="AK77" i="56"/>
  <c r="AL77" i="56" s="1"/>
  <c r="AM77" i="56" s="1"/>
  <c r="AE77" i="56"/>
  <c r="AF77" i="56" s="1"/>
  <c r="AG77" i="56" s="1"/>
  <c r="AN77" i="56"/>
  <c r="AO77" i="56" s="1"/>
  <c r="AP77" i="56" s="1"/>
  <c r="AB77" i="56"/>
  <c r="AC77" i="56" s="1"/>
  <c r="AD77" i="56" s="1"/>
  <c r="AB95" i="56"/>
  <c r="AC95" i="56" s="1"/>
  <c r="AD95" i="56" s="1"/>
  <c r="Y95" i="56"/>
  <c r="Z95" i="56" s="1"/>
  <c r="AA95" i="56" s="1"/>
  <c r="Y77" i="56"/>
  <c r="Z77" i="56" s="1"/>
  <c r="AA77" i="56" s="1"/>
  <c r="Y111" i="56"/>
  <c r="Z111" i="56" s="1"/>
  <c r="AA111" i="56" s="1"/>
  <c r="AB111" i="56"/>
  <c r="AC111" i="56" s="1"/>
  <c r="AD111" i="5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tc={B1B3EADD-82A4-4B68-8FE0-53F70D4435C1}</author>
  </authors>
  <commentList>
    <comment ref="A7" authorId="0" shapeId="0" xr:uid="{B1B3EADD-82A4-4B68-8FE0-53F70D4435C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90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<sst xmlns="http://schemas.openxmlformats.org/spreadsheetml/2006/main" count="443" uniqueCount="226">
  <si>
    <t>rad</t>
  </si>
  <si>
    <t>in</t>
  </si>
  <si>
    <t>in^2</t>
  </si>
  <si>
    <t>notes</t>
  </si>
  <si>
    <t>BMV max stroke</t>
  </si>
  <si>
    <t>BMV max delta vol</t>
  </si>
  <si>
    <t>in^3</t>
  </si>
  <si>
    <t>D_input_1</t>
  </si>
  <si>
    <t>A_input_1</t>
  </si>
  <si>
    <t>D_input_2</t>
  </si>
  <si>
    <t>no effect if no return pressure</t>
  </si>
  <si>
    <t>A_input_2</t>
  </si>
  <si>
    <t>D_spool</t>
  </si>
  <si>
    <t>A_spool</t>
  </si>
  <si>
    <t>D_output</t>
  </si>
  <si>
    <t>A_output</t>
  </si>
  <si>
    <t>springs</t>
  </si>
  <si>
    <t>lbf/in</t>
  </si>
  <si>
    <t>output spring uncompressed length</t>
  </si>
  <si>
    <t>measurment</t>
  </si>
  <si>
    <t>output sping K</t>
  </si>
  <si>
    <t>output spring loaded length</t>
  </si>
  <si>
    <t>lbf</t>
  </si>
  <si>
    <t>L_0 input spring</t>
  </si>
  <si>
    <t>L_install input spring</t>
  </si>
  <si>
    <t>K input spring</t>
  </si>
  <si>
    <t>in/lbf</t>
  </si>
  <si>
    <t>preload input spring</t>
  </si>
  <si>
    <t>other constants</t>
  </si>
  <si>
    <t>return pressure</t>
  </si>
  <si>
    <t>psi</t>
  </si>
  <si>
    <t>F friction</t>
  </si>
  <si>
    <t>BMV input stroke</t>
  </si>
  <si>
    <t>F BMV input</t>
  </si>
  <si>
    <t>P input</t>
  </si>
  <si>
    <t>F_spool</t>
  </si>
  <si>
    <t>P_output</t>
  </si>
  <si>
    <t>Delta Volume Input BMV</t>
  </si>
  <si>
    <t>Delta Volume Input MC</t>
  </si>
  <si>
    <t>stroke vol no input</t>
  </si>
  <si>
    <t>delta L input spring</t>
  </si>
  <si>
    <t>despin max stroke</t>
  </si>
  <si>
    <t>despin max delta vol</t>
  </si>
  <si>
    <t>calc value</t>
  </si>
  <si>
    <t>bmv geom</t>
  </si>
  <si>
    <t>used for distinction between extend and compress</t>
  </si>
  <si>
    <t>.45" min, .6 max, .525" mid</t>
  </si>
  <si>
    <t>despin diameter in</t>
  </si>
  <si>
    <t>despin area in</t>
  </si>
  <si>
    <t>despin diameter out</t>
  </si>
  <si>
    <t>despin area out</t>
  </si>
  <si>
    <t>F output spring extend</t>
  </si>
  <si>
    <t>F output spring compress</t>
  </si>
  <si>
    <t xml:space="preserve">in </t>
  </si>
  <si>
    <t>Brake Pedal Feel</t>
  </si>
  <si>
    <t>stroke MC</t>
  </si>
  <si>
    <t>MC length</t>
  </si>
  <si>
    <t>delta angle</t>
  </si>
  <si>
    <t>F pedal feel spring</t>
  </si>
  <si>
    <t>F pedal output</t>
  </si>
  <si>
    <t>F pedal input</t>
  </si>
  <si>
    <t>degrees</t>
  </si>
  <si>
    <t>aircraft mass</t>
  </si>
  <si>
    <t>lbm</t>
  </si>
  <si>
    <t>slugs</t>
  </si>
  <si>
    <t>aircraft speed</t>
  </si>
  <si>
    <t>KEAS</t>
  </si>
  <si>
    <t>ft/s</t>
  </si>
  <si>
    <t>aero drag</t>
  </si>
  <si>
    <t>F_gravity</t>
  </si>
  <si>
    <t>Aircraft feel</t>
  </si>
  <si>
    <t>Brake torque</t>
  </si>
  <si>
    <t>Brake force between wheel and ground</t>
  </si>
  <si>
    <t>sum forces</t>
  </si>
  <si>
    <t>acceleration</t>
  </si>
  <si>
    <t>decel</t>
  </si>
  <si>
    <t>in-lbf</t>
  </si>
  <si>
    <t>lbf/ft^2</t>
  </si>
  <si>
    <t>N_x</t>
  </si>
  <si>
    <t>Brake pedal feel</t>
  </si>
  <si>
    <t>MC bore diameter</t>
  </si>
  <si>
    <t>MC bore area</t>
  </si>
  <si>
    <t>MC lever arm</t>
  </si>
  <si>
    <t xml:space="preserve">Feel spring preload </t>
  </si>
  <si>
    <t>Feel spring preload</t>
  </si>
  <si>
    <t>K feel spring</t>
  </si>
  <si>
    <t>pedal force application lever arm</t>
  </si>
  <si>
    <t xml:space="preserve">lbf </t>
  </si>
  <si>
    <t>ft-Lbf</t>
  </si>
  <si>
    <t xml:space="preserve">Brake Torque </t>
  </si>
  <si>
    <t>Hydraulic Brake Pressure</t>
  </si>
  <si>
    <t>slugs/ft^3</t>
  </si>
  <si>
    <t>air density</t>
  </si>
  <si>
    <t>slug/ft^3</t>
  </si>
  <si>
    <t>std air density</t>
  </si>
  <si>
    <t>deg</t>
  </si>
  <si>
    <t>ft^2</t>
  </si>
  <si>
    <t>C_d*Area Zero Alpha Gear Down</t>
  </si>
  <si>
    <t>F_prop</t>
  </si>
  <si>
    <t>ft</t>
  </si>
  <si>
    <t>wheel center to ground</t>
  </si>
  <si>
    <t>This tab plots the capability of the brakes</t>
  </si>
  <si>
    <t>initial angle</t>
  </si>
  <si>
    <t>MIL-B-8584</t>
  </si>
  <si>
    <t>min max braking force</t>
  </si>
  <si>
    <t>max max braking force</t>
  </si>
  <si>
    <t>min force for initial brake pedal movement</t>
  </si>
  <si>
    <t>max force for initial brake pedal movement</t>
  </si>
  <si>
    <t xml:space="preserve">MIL-B-8584 pg6 </t>
  </si>
  <si>
    <t>min max travel limit</t>
  </si>
  <si>
    <t>max max travel limit</t>
  </si>
  <si>
    <t>mil spec guidance</t>
  </si>
  <si>
    <t xml:space="preserve">slide 12 </t>
  </si>
  <si>
    <t>G's</t>
  </si>
  <si>
    <t>aircraft decel</t>
  </si>
  <si>
    <t>pedal angle</t>
  </si>
  <si>
    <t>pedal force</t>
  </si>
  <si>
    <t xml:space="preserve">design point 2 </t>
  </si>
  <si>
    <t>design point 1</t>
  </si>
  <si>
    <t>L_0 deadband</t>
  </si>
  <si>
    <t>bore diameter</t>
  </si>
  <si>
    <t>bore area</t>
  </si>
  <si>
    <t>MC stroke</t>
  </si>
  <si>
    <t>starting force</t>
  </si>
  <si>
    <t>final force</t>
  </si>
  <si>
    <t>stroke</t>
  </si>
  <si>
    <t>k</t>
  </si>
  <si>
    <t>initial angle 2</t>
  </si>
  <si>
    <t>pedal axis</t>
  </si>
  <si>
    <t>rudder axis</t>
  </si>
  <si>
    <t>MC top</t>
  </si>
  <si>
    <t>mc length unstroked</t>
  </si>
  <si>
    <t>mc top to pedal axis</t>
  </si>
  <si>
    <t>mc arm</t>
  </si>
  <si>
    <t>x</t>
  </si>
  <si>
    <t>y</t>
  </si>
  <si>
    <t>angle 1</t>
  </si>
  <si>
    <t>angle 2</t>
  </si>
  <si>
    <t>angle 3</t>
  </si>
  <si>
    <t>angle</t>
  </si>
  <si>
    <t>max mc stroke</t>
  </si>
  <si>
    <t>angle 4</t>
  </si>
  <si>
    <t>vol displace</t>
  </si>
  <si>
    <t>bmv vol input</t>
  </si>
  <si>
    <t>MC stroke deadband</t>
  </si>
  <si>
    <t>hose vol deadband</t>
  </si>
  <si>
    <t>percent force realized</t>
  </si>
  <si>
    <t>%</t>
  </si>
  <si>
    <t>stroke deadband</t>
  </si>
  <si>
    <t>input deadband</t>
  </si>
  <si>
    <t>F mc spring</t>
  </si>
  <si>
    <t>F pressure</t>
  </si>
  <si>
    <t>% force realized</t>
  </si>
  <si>
    <t>-</t>
  </si>
  <si>
    <t>fraction over</t>
  </si>
  <si>
    <t>.085" unshimmed, .05" is starting place for shimming</t>
  </si>
  <si>
    <t xml:space="preserve">pedal angle </t>
  </si>
  <si>
    <t>arm/MC connection</t>
  </si>
  <si>
    <t>MC stroke limit</t>
  </si>
  <si>
    <t>set by results from data review 2</t>
  </si>
  <si>
    <t>This tab illustrates models pedal geometry in realation to BMV volume input</t>
  </si>
  <si>
    <t>initial metering</t>
  </si>
  <si>
    <t>initial braking</t>
  </si>
  <si>
    <t xml:space="preserve"> </t>
  </si>
  <si>
    <t>P_output for initial metering</t>
  </si>
  <si>
    <t>Aircraft feel, baseline torque</t>
  </si>
  <si>
    <t>Aircraft feel, low torque</t>
  </si>
  <si>
    <t>Aircraft feel, high torque</t>
  </si>
  <si>
    <t>length</t>
  </si>
  <si>
    <t>calculated precompression</t>
  </si>
  <si>
    <t>min total stroke</t>
  </si>
  <si>
    <t>cots</t>
  </si>
  <si>
    <t>OD</t>
  </si>
  <si>
    <t>ID</t>
  </si>
  <si>
    <t>installed</t>
  </si>
  <si>
    <t>custom</t>
  </si>
  <si>
    <t>initial length</t>
  </si>
  <si>
    <t>final length</t>
  </si>
  <si>
    <t>mc vol limit</t>
  </si>
  <si>
    <t>Brake torque uncertatinty, under</t>
  </si>
  <si>
    <t>Brake torque uncertatinty, over</t>
  </si>
  <si>
    <t>feel adjustment parameter</t>
  </si>
  <si>
    <t>This tab interprets the brake feel requirements</t>
  </si>
  <si>
    <t>brake</t>
  </si>
  <si>
    <t>torque - pressure curve</t>
  </si>
  <si>
    <t>BMV</t>
  </si>
  <si>
    <t>transfer spring rate</t>
  </si>
  <si>
    <t>transfer spring deadband</t>
  </si>
  <si>
    <t>input bore diameter</t>
  </si>
  <si>
    <t>pedal mechnism</t>
  </si>
  <si>
    <t>master cylinder moment arms (upper and lower)</t>
  </si>
  <si>
    <t>master cylinder</t>
  </si>
  <si>
    <t>feel spring rate</t>
  </si>
  <si>
    <t>feel spring deadband/ precompression</t>
  </si>
  <si>
    <t>master cylinder deadband</t>
  </si>
  <si>
    <t xml:space="preserve"> constant input</t>
  </si>
  <si>
    <t>feel adjustment parameters</t>
  </si>
  <si>
    <t>hose deadband</t>
  </si>
  <si>
    <t>vol</t>
  </si>
  <si>
    <t>force</t>
  </si>
  <si>
    <t>MC/MC Arm Angle</t>
  </si>
  <si>
    <t xml:space="preserve">in model </t>
  </si>
  <si>
    <t>MC deadband</t>
  </si>
  <si>
    <t>delta vol</t>
  </si>
  <si>
    <t>spring compression</t>
  </si>
  <si>
    <t>right seat position?</t>
  </si>
  <si>
    <t>duff push rods</t>
  </si>
  <si>
    <t>beginning light force not an issue!</t>
  </si>
  <si>
    <t>mule power for tooch</t>
  </si>
  <si>
    <t>dc pump power for doc and duff</t>
  </si>
  <si>
    <t>parachute on</t>
  </si>
  <si>
    <t>no boots</t>
  </si>
  <si>
    <t>test notes</t>
  </si>
  <si>
    <t>max</t>
  </si>
  <si>
    <t>high</t>
  </si>
  <si>
    <t>med</t>
  </si>
  <si>
    <t>low</t>
  </si>
  <si>
    <t>RH</t>
  </si>
  <si>
    <t>LH</t>
  </si>
  <si>
    <t>Doc</t>
  </si>
  <si>
    <t>Duff</t>
  </si>
  <si>
    <t>tooch</t>
  </si>
  <si>
    <t>1700, 0 keas</t>
  </si>
  <si>
    <t>1300, 0 keas</t>
  </si>
  <si>
    <t>Doc/duff avg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</si>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</sst>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0000"/>
    <numFmt numFmtId="167" formatCode="0.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9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6" fillId="6" borderId="6" applyNumberFormat="0" applyAlignment="0" applyProtection="0"/>
    <xf numFmtId="0" fontId="7" fillId="0" borderId="0"/>
    <xf numFmtId="0" fontId="8" fillId="0" borderId="0"/>
  </cellStyleXfs>
  <cellXfs count="140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3" borderId="0" xfId="0" applyNumberFormat="1" applyFill="1"/>
    <xf numFmtId="0" fontId="2" fillId="0" borderId="0" xfId="0" applyFont="1"/>
    <xf numFmtId="0" fontId="0" fillId="0" borderId="1" xfId="0" applyBorder="1"/>
    <xf numFmtId="0" fontId="4" fillId="0" borderId="0" xfId="0" applyFont="1"/>
    <xf numFmtId="164" fontId="0" fillId="0" borderId="0" xfId="0" applyNumberFormat="1" applyBorder="1"/>
    <xf numFmtId="1" fontId="0" fillId="0" borderId="0" xfId="0" applyNumberFormat="1" applyBorder="1"/>
    <xf numFmtId="164" fontId="0" fillId="2" borderId="0" xfId="0" applyNumberFormat="1" applyFill="1"/>
    <xf numFmtId="0" fontId="0" fillId="5" borderId="0" xfId="0" applyFill="1"/>
    <xf numFmtId="2" fontId="0" fillId="2" borderId="0" xfId="0" applyNumberFormat="1" applyFill="1"/>
    <xf numFmtId="0" fontId="0" fillId="0" borderId="0" xfId="0"/>
    <xf numFmtId="0" fontId="0" fillId="0" borderId="0" xfId="0" applyFill="1" applyBorder="1"/>
    <xf numFmtId="0" fontId="0" fillId="2" borderId="1" xfId="0" applyFill="1" applyBorder="1"/>
    <xf numFmtId="164" fontId="0" fillId="0" borderId="1" xfId="0" applyNumberFormat="1" applyBorder="1"/>
    <xf numFmtId="0" fontId="0" fillId="0" borderId="5" xfId="0" applyBorder="1"/>
    <xf numFmtId="1" fontId="0" fillId="2" borderId="5" xfId="0" applyNumberFormat="1" applyFill="1" applyBorder="1"/>
    <xf numFmtId="164" fontId="0" fillId="0" borderId="5" xfId="0" applyNumberFormat="1" applyBorder="1"/>
    <xf numFmtId="0" fontId="0" fillId="5" borderId="5" xfId="0" applyFill="1" applyBorder="1"/>
    <xf numFmtId="164" fontId="0" fillId="2" borderId="5" xfId="0" applyNumberFormat="1" applyFill="1" applyBorder="1"/>
    <xf numFmtId="0" fontId="0" fillId="0" borderId="0" xfId="0" applyBorder="1"/>
    <xf numFmtId="0" fontId="0" fillId="0" borderId="0" xfId="0" applyBorder="1" applyAlignment="1">
      <alignment wrapText="1"/>
    </xf>
    <xf numFmtId="164" fontId="4" fillId="0" borderId="0" xfId="0" applyNumberFormat="1" applyFont="1" applyBorder="1"/>
    <xf numFmtId="0" fontId="0" fillId="4" borderId="0" xfId="0" applyFill="1" applyBorder="1" applyAlignment="1">
      <alignment wrapText="1"/>
    </xf>
    <xf numFmtId="0" fontId="0" fillId="0" borderId="0" xfId="0" applyBorder="1" applyAlignment="1">
      <alignment horizontal="left" wrapText="1"/>
    </xf>
    <xf numFmtId="0" fontId="4" fillId="0" borderId="0" xfId="0" applyFont="1" applyBorder="1"/>
    <xf numFmtId="0" fontId="4" fillId="4" borderId="0" xfId="0" applyFont="1" applyFill="1" applyBorder="1" applyAlignment="1">
      <alignment wrapText="1"/>
    </xf>
    <xf numFmtId="0" fontId="0" fillId="0" borderId="0" xfId="0" applyFill="1"/>
    <xf numFmtId="164" fontId="0" fillId="0" borderId="0" xfId="0" applyNumberFormat="1" applyFill="1"/>
    <xf numFmtId="0" fontId="4" fillId="0" borderId="0" xfId="0" applyFont="1" applyFill="1"/>
    <xf numFmtId="0" fontId="0" fillId="4" borderId="0" xfId="0" applyFill="1" applyAlignment="1">
      <alignment wrapText="1"/>
    </xf>
    <xf numFmtId="0" fontId="0" fillId="4" borderId="7" xfId="0" applyFill="1" applyBorder="1" applyAlignment="1">
      <alignment wrapText="1"/>
    </xf>
    <xf numFmtId="0" fontId="0" fillId="0" borderId="8" xfId="0" applyBorder="1"/>
    <xf numFmtId="1" fontId="0" fillId="0" borderId="0" xfId="0" applyNumberFormat="1"/>
    <xf numFmtId="1" fontId="0" fillId="0" borderId="7" xfId="0" applyNumberFormat="1" applyBorder="1"/>
    <xf numFmtId="0" fontId="0" fillId="4" borderId="10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0" borderId="9" xfId="0" applyBorder="1"/>
    <xf numFmtId="164" fontId="4" fillId="0" borderId="0" xfId="0" applyNumberFormat="1" applyFont="1"/>
    <xf numFmtId="165" fontId="4" fillId="0" borderId="0" xfId="0" applyNumberFormat="1" applyFont="1"/>
    <xf numFmtId="0" fontId="0" fillId="0" borderId="0" xfId="0" applyFill="1" applyAlignment="1">
      <alignment wrapText="1"/>
    </xf>
    <xf numFmtId="165" fontId="4" fillId="0" borderId="0" xfId="0" applyNumberFormat="1" applyFont="1" applyFill="1"/>
    <xf numFmtId="0" fontId="0" fillId="7" borderId="0" xfId="0" applyFill="1"/>
    <xf numFmtId="2" fontId="0" fillId="0" borderId="1" xfId="0" applyNumberFormat="1" applyBorder="1"/>
    <xf numFmtId="0" fontId="0" fillId="0" borderId="7" xfId="0" applyBorder="1"/>
    <xf numFmtId="0" fontId="5" fillId="0" borderId="5" xfId="1" applyFont="1" applyBorder="1" applyAlignment="1">
      <alignment horizontal="left"/>
    </xf>
    <xf numFmtId="165" fontId="0" fillId="0" borderId="0" xfId="0" applyNumberFormat="1"/>
    <xf numFmtId="3" fontId="7" fillId="0" borderId="0" xfId="3" applyNumberFormat="1"/>
    <xf numFmtId="0" fontId="7" fillId="0" borderId="11" xfId="3" applyBorder="1"/>
    <xf numFmtId="0" fontId="7" fillId="4" borderId="4" xfId="3" applyFill="1" applyBorder="1" applyAlignment="1">
      <alignment wrapText="1"/>
    </xf>
    <xf numFmtId="0" fontId="6" fillId="0" borderId="0" xfId="2" applyFill="1" applyBorder="1"/>
    <xf numFmtId="0" fontId="0" fillId="2" borderId="5" xfId="0" applyFill="1" applyBorder="1"/>
    <xf numFmtId="0" fontId="3" fillId="0" borderId="0" xfId="1"/>
    <xf numFmtId="0" fontId="0" fillId="0" borderId="0" xfId="0"/>
    <xf numFmtId="0" fontId="4" fillId="0" borderId="0" xfId="0" applyFont="1" applyFill="1" applyBorder="1"/>
    <xf numFmtId="0" fontId="0" fillId="0" borderId="0" xfId="0" applyFill="1" applyBorder="1" applyAlignment="1">
      <alignment wrapText="1"/>
    </xf>
    <xf numFmtId="164" fontId="0" fillId="0" borderId="0" xfId="0" applyNumberFormat="1" applyFill="1" applyBorder="1"/>
    <xf numFmtId="1" fontId="0" fillId="0" borderId="0" xfId="0" applyNumberFormat="1" applyFill="1" applyBorder="1"/>
    <xf numFmtId="164" fontId="4" fillId="0" borderId="0" xfId="0" applyNumberFormat="1" applyFont="1" applyFill="1" applyBorder="1"/>
    <xf numFmtId="0" fontId="3" fillId="0" borderId="0" xfId="1" applyBorder="1" applyAlignment="1"/>
    <xf numFmtId="0" fontId="3" fillId="0" borderId="5" xfId="1" applyBorder="1" applyAlignment="1"/>
    <xf numFmtId="0" fontId="3" fillId="0" borderId="1" xfId="1" applyBorder="1" applyAlignment="1"/>
    <xf numFmtId="0" fontId="0" fillId="0" borderId="0" xfId="0" applyBorder="1" applyAlignment="1"/>
    <xf numFmtId="0" fontId="3" fillId="0" borderId="0" xfId="1" applyAlignment="1"/>
    <xf numFmtId="0" fontId="5" fillId="0" borderId="0" xfId="1" applyFont="1" applyAlignment="1"/>
    <xf numFmtId="0" fontId="5" fillId="0" borderId="1" xfId="1" applyFont="1" applyBorder="1" applyAlignment="1"/>
    <xf numFmtId="0" fontId="9" fillId="0" borderId="0" xfId="0" applyFont="1"/>
    <xf numFmtId="2" fontId="0" fillId="0" borderId="0" xfId="0" applyNumberFormat="1" applyFill="1"/>
    <xf numFmtId="0" fontId="10" fillId="0" borderId="0" xfId="0" applyFont="1"/>
    <xf numFmtId="0" fontId="11" fillId="0" borderId="0" xfId="0" applyFont="1"/>
    <xf numFmtId="0" fontId="5" fillId="0" borderId="0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3" fillId="0" borderId="0" xfId="1" applyAlignment="1">
      <alignment horizontal="left"/>
    </xf>
    <xf numFmtId="0" fontId="3" fillId="0" borderId="0" xfId="1" applyBorder="1" applyAlignment="1">
      <alignment horizontal="left"/>
    </xf>
    <xf numFmtId="0" fontId="0" fillId="0" borderId="0" xfId="0" applyBorder="1" applyAlignment="1">
      <alignment horizontal="left"/>
    </xf>
    <xf numFmtId="166" fontId="0" fillId="0" borderId="0" xfId="0" applyNumberFormat="1"/>
    <xf numFmtId="0" fontId="0" fillId="0" borderId="1" xfId="0" applyFill="1" applyBorder="1"/>
    <xf numFmtId="164" fontId="4" fillId="0" borderId="0" xfId="0" applyNumberFormat="1" applyFont="1" applyFill="1"/>
    <xf numFmtId="1" fontId="0" fillId="0" borderId="0" xfId="0" applyNumberFormat="1" applyFill="1"/>
    <xf numFmtId="1" fontId="0" fillId="0" borderId="7" xfId="0" applyNumberFormat="1" applyFill="1" applyBorder="1"/>
    <xf numFmtId="0" fontId="0" fillId="0" borderId="10" xfId="0" applyBorder="1"/>
    <xf numFmtId="0" fontId="6" fillId="0" borderId="7" xfId="2" applyFill="1" applyBorder="1"/>
    <xf numFmtId="0" fontId="0" fillId="0" borderId="0" xfId="0"/>
    <xf numFmtId="165" fontId="0" fillId="0" borderId="0" xfId="0" applyNumberFormat="1" applyBorder="1"/>
    <xf numFmtId="1" fontId="4" fillId="0" borderId="0" xfId="0" applyNumberFormat="1" applyFont="1"/>
    <xf numFmtId="0" fontId="0" fillId="8" borderId="0" xfId="0" applyFill="1"/>
    <xf numFmtId="2" fontId="0" fillId="8" borderId="0" xfId="0" applyNumberFormat="1" applyFill="1"/>
    <xf numFmtId="0" fontId="2" fillId="8" borderId="0" xfId="0" applyFont="1" applyFill="1"/>
    <xf numFmtId="0" fontId="0" fillId="3" borderId="0" xfId="0" applyFill="1" applyBorder="1"/>
    <xf numFmtId="164" fontId="0" fillId="3" borderId="0" xfId="0" applyNumberFormat="1" applyFill="1" applyBorder="1"/>
    <xf numFmtId="164" fontId="4" fillId="3" borderId="0" xfId="0" applyNumberFormat="1" applyFont="1" applyFill="1" applyBorder="1"/>
    <xf numFmtId="1" fontId="0" fillId="3" borderId="0" xfId="0" applyNumberFormat="1" applyFill="1" applyBorder="1"/>
    <xf numFmtId="164" fontId="4" fillId="3" borderId="0" xfId="0" applyNumberFormat="1" applyFont="1" applyFill="1"/>
    <xf numFmtId="165" fontId="4" fillId="3" borderId="0" xfId="0" applyNumberFormat="1" applyFont="1" applyFill="1"/>
    <xf numFmtId="1" fontId="0" fillId="3" borderId="0" xfId="0" applyNumberFormat="1" applyFill="1"/>
    <xf numFmtId="2" fontId="0" fillId="3" borderId="0" xfId="0" applyNumberFormat="1" applyFill="1"/>
    <xf numFmtId="1" fontId="0" fillId="3" borderId="7" xfId="0" applyNumberFormat="1" applyFill="1" applyBorder="1"/>
    <xf numFmtId="0" fontId="0" fillId="2" borderId="0" xfId="0" applyFill="1" applyBorder="1"/>
    <xf numFmtId="1" fontId="4" fillId="2" borderId="0" xfId="0" applyNumberFormat="1" applyFont="1" applyFill="1"/>
    <xf numFmtId="167" fontId="4" fillId="0" borderId="0" xfId="0" applyNumberFormat="1" applyFont="1"/>
    <xf numFmtId="0" fontId="1" fillId="7" borderId="0" xfId="0" applyFont="1" applyFill="1"/>
    <xf numFmtId="0" fontId="0" fillId="0" borderId="5" xfId="0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0" xfId="0" applyAlignment="1"/>
    <xf numFmtId="164" fontId="0" fillId="8" borderId="0" xfId="0" applyNumberFormat="1" applyFill="1"/>
    <xf numFmtId="0" fontId="4" fillId="0" borderId="0" xfId="0" applyFont="1" applyBorder="1" applyAlignment="1">
      <alignment vertical="center"/>
    </xf>
    <xf numFmtId="0" fontId="14" fillId="0" borderId="0" xfId="0" applyFont="1"/>
    <xf numFmtId="0" fontId="15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right" wrapText="1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15" fillId="0" borderId="0" xfId="0" applyFont="1" applyAlignment="1">
      <alignment horizontal="center" wrapText="1"/>
    </xf>
    <xf numFmtId="0" fontId="12" fillId="0" borderId="0" xfId="0" applyFont="1" applyAlignment="1">
      <alignment horizontal="left" vertical="top"/>
    </xf>
    <xf numFmtId="0" fontId="0" fillId="0" borderId="4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10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" fillId="7" borderId="0" xfId="0" applyFont="1" applyFill="1" applyAlignment="1">
      <alignment horizontal="left"/>
    </xf>
    <xf numFmtId="0" fontId="13" fillId="9" borderId="0" xfId="0" applyFont="1" applyFill="1" applyAlignment="1">
      <alignment horizontal="left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0" fontId="15" fillId="0" borderId="0" xfId="0" applyFont="1" applyFill="1" applyBorder="1" applyAlignment="1">
      <alignment wrapText="1"/>
    </xf>
    <xf numFmtId="1" fontId="0" fillId="0" borderId="12" xfId="0" applyNumberFormat="1" applyFill="1" applyBorder="1"/>
    <xf numFmtId="1" fontId="0" fillId="0" borderId="13" xfId="0" applyNumberFormat="1" applyFill="1" applyBorder="1"/>
    <xf numFmtId="1" fontId="0" fillId="3" borderId="14" xfId="0" applyNumberFormat="1" applyFill="1" applyBorder="1"/>
    <xf numFmtId="164" fontId="4" fillId="0" borderId="12" xfId="0" applyNumberFormat="1" applyFont="1" applyBorder="1"/>
    <xf numFmtId="164" fontId="4" fillId="0" borderId="13" xfId="0" applyNumberFormat="1" applyFont="1" applyFill="1" applyBorder="1"/>
    <xf numFmtId="164" fontId="4" fillId="0" borderId="13" xfId="0" applyNumberFormat="1" applyFont="1" applyBorder="1"/>
    <xf numFmtId="164" fontId="4" fillId="3" borderId="14" xfId="0" applyNumberFormat="1" applyFont="1" applyFill="1" applyBorder="1"/>
  </cellXfs>
  <cellStyles count="5">
    <cellStyle name="Hyperlink" xfId="1" builtinId="8"/>
    <cellStyle name="Input" xfId="2" builtinId="20"/>
    <cellStyle name="Normal" xfId="0" builtinId="0"/>
    <cellStyle name="Normal 2" xfId="3" xr:uid="{59A33BDA-A739-4441-9434-A93F892FF8FA}"/>
    <cellStyle name="Normal 3" xfId="4" xr:uid="{1F5EB692-191F-4985-B186-A7BD94CC2219}"/>
  </cellStyles>
  <dxfs count="0"/>
  <tableStyles count="0" defaultTableStyle="TableStyleMedium2" defaultPivotStyle="PivotStyleLight16"/>
  <colors>
    <mruColors>
      <color rgb="FFF97D73"/>
      <color rgb="FFF8C0BA"/>
      <color rgb="FFEBAEAD"/>
      <color rgb="FF00CCFF"/>
      <color rgb="FFCCCCFF"/>
      <color rgb="FFFF66FF"/>
      <color rgb="FF9999FF"/>
      <color rgb="FFE3A8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Brake Capability (From Nick's Memory)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Baseline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'Brake capability'!$A$7:$A$16</c:f>
              <c:numCache>
                <c:formatCode>#,##0</c:formatCode>
                <c:ptCount val="10"/>
                <c:pt idx="0">
                  <c:v>110</c:v>
                </c:pt>
                <c:pt idx="1">
                  <c:v>208</c:v>
                </c:pt>
                <c:pt idx="2">
                  <c:v>435</c:v>
                </c:pt>
                <c:pt idx="3">
                  <c:v>661</c:v>
                </c:pt>
                <c:pt idx="4">
                  <c:v>889</c:v>
                </c:pt>
                <c:pt idx="5">
                  <c:v>1118</c:v>
                </c:pt>
                <c:pt idx="6">
                  <c:v>1346</c:v>
                </c:pt>
                <c:pt idx="7">
                  <c:v>1573</c:v>
                </c:pt>
                <c:pt idx="8">
                  <c:v>1805</c:v>
                </c:pt>
                <c:pt idx="9">
                  <c:v>2035</c:v>
                </c:pt>
              </c:numCache>
            </c:numRef>
          </c:xVal>
          <c:yVal>
            <c:numRef>
              <c:f>'Brake capability'!$B$7:$B$16</c:f>
              <c:numCache>
                <c:formatCode>#,##0</c:formatCode>
                <c:ptCount val="10"/>
                <c:pt idx="0">
                  <c:v>0</c:v>
                </c:pt>
                <c:pt idx="1">
                  <c:v>1431</c:v>
                </c:pt>
                <c:pt idx="2">
                  <c:v>2731</c:v>
                </c:pt>
                <c:pt idx="3">
                  <c:v>3800</c:v>
                </c:pt>
                <c:pt idx="4">
                  <c:v>4663</c:v>
                </c:pt>
                <c:pt idx="5">
                  <c:v>5369</c:v>
                </c:pt>
                <c:pt idx="6">
                  <c:v>5993</c:v>
                </c:pt>
                <c:pt idx="7">
                  <c:v>6567</c:v>
                </c:pt>
                <c:pt idx="8">
                  <c:v>7134</c:v>
                </c:pt>
                <c:pt idx="9">
                  <c:v>7741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B6-41B7-9583-5F122A9E0956}"/>
            </c:ext>
          </c:extLst>
        </c:ser>
        <c:ser>
          <c:idx val="1"/>
          <c:order val="1"/>
          <c:tx>
            <c:v>uncertainty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'Brake capability'!$A$7:$A$16</c:f>
              <c:numCache>
                <c:formatCode>#,##0</c:formatCode>
                <c:ptCount val="10"/>
                <c:pt idx="0">
                  <c:v>110</c:v>
                </c:pt>
                <c:pt idx="1">
                  <c:v>208</c:v>
                </c:pt>
                <c:pt idx="2">
                  <c:v>435</c:v>
                </c:pt>
                <c:pt idx="3">
                  <c:v>661</c:v>
                </c:pt>
                <c:pt idx="4">
                  <c:v>889</c:v>
                </c:pt>
                <c:pt idx="5">
                  <c:v>1118</c:v>
                </c:pt>
                <c:pt idx="6">
                  <c:v>1346</c:v>
                </c:pt>
                <c:pt idx="7">
                  <c:v>1573</c:v>
                </c:pt>
                <c:pt idx="8">
                  <c:v>1805</c:v>
                </c:pt>
                <c:pt idx="9">
                  <c:v>2035</c:v>
                </c:pt>
              </c:numCache>
            </c:numRef>
          </c:xVal>
          <c:yVal>
            <c:numRef>
              <c:f>'Brake capability'!$C$7:$C$16</c:f>
              <c:numCache>
                <c:formatCode>#,##0</c:formatCode>
                <c:ptCount val="10"/>
                <c:pt idx="0">
                  <c:v>0</c:v>
                </c:pt>
                <c:pt idx="1">
                  <c:v>1216.3499999999999</c:v>
                </c:pt>
                <c:pt idx="2">
                  <c:v>2321.35</c:v>
                </c:pt>
                <c:pt idx="3">
                  <c:v>3230</c:v>
                </c:pt>
                <c:pt idx="4">
                  <c:v>3963.5499999999997</c:v>
                </c:pt>
                <c:pt idx="5">
                  <c:v>4563.6499999999996</c:v>
                </c:pt>
                <c:pt idx="6">
                  <c:v>5094.05</c:v>
                </c:pt>
                <c:pt idx="7">
                  <c:v>5581.95</c:v>
                </c:pt>
                <c:pt idx="8">
                  <c:v>6063.9</c:v>
                </c:pt>
                <c:pt idx="9">
                  <c:v>6579.8499999999995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47-4C4F-86EE-A54A49D23B06}"/>
            </c:ext>
          </c:extLst>
        </c:ser>
        <c:ser>
          <c:idx val="2"/>
          <c:order val="2"/>
          <c:tx>
            <c:v>25% over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'Brake capability'!$A$7:$A$16</c:f>
              <c:numCache>
                <c:formatCode>#,##0</c:formatCode>
                <c:ptCount val="10"/>
                <c:pt idx="0">
                  <c:v>110</c:v>
                </c:pt>
                <c:pt idx="1">
                  <c:v>208</c:v>
                </c:pt>
                <c:pt idx="2">
                  <c:v>435</c:v>
                </c:pt>
                <c:pt idx="3">
                  <c:v>661</c:v>
                </c:pt>
                <c:pt idx="4">
                  <c:v>889</c:v>
                </c:pt>
                <c:pt idx="5">
                  <c:v>1118</c:v>
                </c:pt>
                <c:pt idx="6">
                  <c:v>1346</c:v>
                </c:pt>
                <c:pt idx="7">
                  <c:v>1573</c:v>
                </c:pt>
                <c:pt idx="8">
                  <c:v>1805</c:v>
                </c:pt>
                <c:pt idx="9">
                  <c:v>2035</c:v>
                </c:pt>
              </c:numCache>
            </c:numRef>
          </c:xVal>
          <c:yVal>
            <c:numRef>
              <c:f>'Brake capability'!$D$7:$D$16</c:f>
              <c:numCache>
                <c:formatCode>#,##0</c:formatCode>
                <c:ptCount val="10"/>
                <c:pt idx="0">
                  <c:v>0</c:v>
                </c:pt>
                <c:pt idx="1">
                  <c:v>1645.6499999999999</c:v>
                </c:pt>
                <c:pt idx="2">
                  <c:v>3140.6499999999996</c:v>
                </c:pt>
                <c:pt idx="3">
                  <c:v>4370</c:v>
                </c:pt>
                <c:pt idx="4">
                  <c:v>5362.45</c:v>
                </c:pt>
                <c:pt idx="5">
                  <c:v>6174.3499999999995</c:v>
                </c:pt>
                <c:pt idx="6">
                  <c:v>6891.95</c:v>
                </c:pt>
                <c:pt idx="7">
                  <c:v>7552.0499999999993</c:v>
                </c:pt>
                <c:pt idx="8">
                  <c:v>8204.0999999999985</c:v>
                </c:pt>
                <c:pt idx="9">
                  <c:v>8902.15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47-4C4F-86EE-A54A49D23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49839"/>
        <c:axId val="146134447"/>
      </c:scatterChart>
      <c:valAx>
        <c:axId val="146149839"/>
        <c:scaling>
          <c:orientation val="minMax"/>
          <c:max val="203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Hydrauilc</a:t>
                </a:r>
                <a:r>
                  <a:rPr lang="en-US" baseline="0"/>
                  <a:t> Brake Pressure [psi]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4447"/>
        <c:crosses val="autoZero"/>
        <c:crossBetween val="midCat"/>
        <c:majorUnit val="200"/>
      </c:valAx>
      <c:valAx>
        <c:axId val="14613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Brake Torque [Ft-Lbf]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49839"/>
        <c:crosses val="autoZero"/>
        <c:crossBetween val="midCat"/>
        <c:majorUnit val="2500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9961942734396063"/>
          <c:y val="0.39314470221708686"/>
          <c:w val="0.19260617656216988"/>
          <c:h val="0.19137006839046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</a:t>
            </a:r>
            <a:r>
              <a:rPr lang="en-US" baseline="0"/>
              <a:t> </a:t>
            </a:r>
            <a:r>
              <a:rPr lang="en-US"/>
              <a:t>Pedal Geom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184779897885958E-2"/>
          <c:y val="6.6722750210844478E-2"/>
          <c:w val="0.87519386724154902"/>
          <c:h val="0.91348889033056047"/>
        </c:manualLayout>
      </c:layout>
      <c:scatterChart>
        <c:scatterStyle val="lineMarker"/>
        <c:varyColors val="0"/>
        <c:ser>
          <c:idx val="1"/>
          <c:order val="1"/>
          <c:tx>
            <c:v>0 deg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('pedal model'!$B$10,'pedal model'!$C$29)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1.9365368786343864</c:v>
                </c:pt>
              </c:numCache>
            </c:numRef>
          </c:xVal>
          <c:yVal>
            <c:numRef>
              <c:f>('pedal model'!$C$10,'pedal model'!$D$29)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-0.49982488702443345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F9-4618-A2F0-763BBF73F65D}"/>
            </c:ext>
          </c:extLst>
        </c:ser>
        <c:ser>
          <c:idx val="2"/>
          <c:order val="2"/>
          <c:tx>
            <c:v>15 deg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('pedal model'!$B$10,'pedal model'!$C$32)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1.999915184612312</c:v>
                </c:pt>
              </c:numCache>
            </c:numRef>
          </c:xVal>
          <c:yVal>
            <c:numRef>
              <c:f>('pedal model'!$C$10,'pedal model'!$D$32)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1.841885873505146E-2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F9-4618-A2F0-763BBF73F65D}"/>
            </c:ext>
          </c:extLst>
        </c:ser>
        <c:ser>
          <c:idx val="3"/>
          <c:order val="3"/>
          <c:tx>
            <c:v>25 deg</c:v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('pedal model'!$B$10,'pedal model'!$C$34)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1.9663335779190001</c:v>
                </c:pt>
              </c:numCache>
            </c:numRef>
          </c:xVal>
          <c:yVal>
            <c:numRef>
              <c:f>('pedal model'!$C$10,'pedal model'!$D$34)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0.36542066218026548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F9-4618-A2F0-763BBF73F65D}"/>
            </c:ext>
          </c:extLst>
        </c:ser>
        <c:ser>
          <c:idx val="4"/>
          <c:order val="4"/>
          <c:tx>
            <c:v>0 deg mc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('pedal model'!$C$29,'pedal model'!$B$20)</c:f>
              <c:numCache>
                <c:formatCode>0.00</c:formatCode>
                <c:ptCount val="2"/>
                <c:pt idx="0">
                  <c:v>1.9365368786343864</c:v>
                </c:pt>
                <c:pt idx="1">
                  <c:v>2</c:v>
                </c:pt>
              </c:numCache>
            </c:numRef>
          </c:xVal>
          <c:yVal>
            <c:numRef>
              <c:f>('pedal model'!$D$29,'pedal model'!$C$20)</c:f>
              <c:numCache>
                <c:formatCode>General</c:formatCode>
                <c:ptCount val="2"/>
                <c:pt idx="0" formatCode="0.00">
                  <c:v>-0.49982488702443345</c:v>
                </c:pt>
                <c:pt idx="1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32-4044-92AD-E4EEBA06C865}"/>
            </c:ext>
          </c:extLst>
        </c:ser>
        <c:ser>
          <c:idx val="5"/>
          <c:order val="5"/>
          <c:tx>
            <c:v>15 deg mc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('pedal model'!$C$32,'pedal model'!$B$20)</c:f>
              <c:numCache>
                <c:formatCode>0.00</c:formatCode>
                <c:ptCount val="2"/>
                <c:pt idx="0">
                  <c:v>1.999915184612312</c:v>
                </c:pt>
                <c:pt idx="1">
                  <c:v>2</c:v>
                </c:pt>
              </c:numCache>
            </c:numRef>
          </c:xVal>
          <c:yVal>
            <c:numRef>
              <c:f>('pedal model'!$D$32,'pedal model'!$C$20)</c:f>
              <c:numCache>
                <c:formatCode>General</c:formatCode>
                <c:ptCount val="2"/>
                <c:pt idx="0" formatCode="0.00">
                  <c:v>1.841885873505146E-2</c:v>
                </c:pt>
                <c:pt idx="1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32-4044-92AD-E4EEBA06C865}"/>
            </c:ext>
          </c:extLst>
        </c:ser>
        <c:ser>
          <c:idx val="6"/>
          <c:order val="6"/>
          <c:tx>
            <c:v>25 deg mc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('pedal model'!$C$34,'pedal model'!$B$20)</c:f>
              <c:numCache>
                <c:formatCode>0.00</c:formatCode>
                <c:ptCount val="2"/>
                <c:pt idx="0">
                  <c:v>1.9663335779190001</c:v>
                </c:pt>
                <c:pt idx="1">
                  <c:v>2</c:v>
                </c:pt>
              </c:numCache>
            </c:numRef>
          </c:xVal>
          <c:yVal>
            <c:numRef>
              <c:f>('pedal model'!$D$34,'pedal model'!$C$20)</c:f>
              <c:numCache>
                <c:formatCode>General</c:formatCode>
                <c:ptCount val="2"/>
                <c:pt idx="0" formatCode="0.00">
                  <c:v>0.36542066218026548</c:v>
                </c:pt>
                <c:pt idx="1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32-4044-92AD-E4EEBA06C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078111"/>
        <c:axId val="136175535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tx1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'pedal model'!$B$10:$B$20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4" formatCode="0.00">
                        <c:v>11.180339887498949</c:v>
                      </c:pt>
                      <c:pt idx="5" formatCode="0.00">
                        <c:v>2</c:v>
                      </c:pt>
                      <c:pt idx="6" formatCode="0.00">
                        <c:v>0.17985349979247828</c:v>
                      </c:pt>
                      <c:pt idx="7" formatCode="0.00">
                        <c:v>1.6435326552482796</c:v>
                      </c:pt>
                      <c:pt idx="8" formatCode="0.00">
                        <c:v>1.823386155040758</c:v>
                      </c:pt>
                      <c:pt idx="9" formatCode="0.00">
                        <c:v>0.2525898282458614</c:v>
                      </c:pt>
                      <c:pt idx="10" formatCode="0.00">
                        <c:v>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'pedal model'!$C$10:$C$20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11</c:v>
                      </c:pt>
                      <c:pt idx="10">
                        <c:v>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FF9-4618-A2F0-763BBF73F65D}"/>
                  </c:ext>
                </c:extLst>
              </c15:ser>
            </c15:filteredScatterSeries>
          </c:ext>
        </c:extLst>
      </c:scatterChart>
      <c:valAx>
        <c:axId val="506078111"/>
        <c:scaling>
          <c:orientation val="minMax"/>
          <c:max val="6"/>
          <c:min val="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55359"/>
        <c:crosses val="autoZero"/>
        <c:crossBetween val="midCat"/>
      </c:valAx>
      <c:valAx>
        <c:axId val="1361755359"/>
        <c:scaling>
          <c:orientation val="minMax"/>
          <c:max val="13.5"/>
          <c:min val="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78111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alphaModFix amt="30000"/>
          </a:blip>
          <a:srcRect/>
          <a:stretch>
            <a:fillRect/>
          </a:stretch>
        </a:blipFill>
        <a:ln w="25400"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62909097492845845"/>
          <c:y val="0.39009089047050965"/>
          <c:w val="0.21751821422929171"/>
          <c:h val="0.15649344224765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Master Cylinder Sizing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98376839627026"/>
          <c:y val="0.1243833223264582"/>
          <c:w val="0.55062735446818611"/>
          <c:h val="0.68577778822279323"/>
        </c:manualLayout>
      </c:layout>
      <c:scatterChart>
        <c:scatterStyle val="lineMarker"/>
        <c:varyColors val="0"/>
        <c:ser>
          <c:idx val="0"/>
          <c:order val="0"/>
          <c:tx>
            <c:v>5/8 MC</c:v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'pedal model'!$A$29:$A$38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xVal>
          <c:yVal>
            <c:numRef>
              <c:f>'pedal model'!$G$29:$G$38</c:f>
              <c:numCache>
                <c:formatCode>0.00</c:formatCode>
                <c:ptCount val="10"/>
                <c:pt idx="0">
                  <c:v>-2.9077673394055901E-2</c:v>
                </c:pt>
                <c:pt idx="1">
                  <c:v>2.333065388497273E-2</c:v>
                </c:pt>
                <c:pt idx="2">
                  <c:v>7.6473401320984458E-2</c:v>
                </c:pt>
                <c:pt idx="3">
                  <c:v>0.12997124038089247</c:v>
                </c:pt>
                <c:pt idx="4">
                  <c:v>0.18342433570202127</c:v>
                </c:pt>
                <c:pt idx="5">
                  <c:v>0.23641371140362025</c:v>
                </c:pt>
                <c:pt idx="6">
                  <c:v>0.28850322516193966</c:v>
                </c:pt>
                <c:pt idx="7">
                  <c:v>0.33924227656105821</c:v>
                </c:pt>
                <c:pt idx="8">
                  <c:v>0.38816937587544875</c:v>
                </c:pt>
                <c:pt idx="9">
                  <c:v>0.43481668694854803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79-41E1-AD42-A62D364C7655}"/>
            </c:ext>
          </c:extLst>
        </c:ser>
        <c:ser>
          <c:idx val="1"/>
          <c:order val="1"/>
          <c:tx>
            <c:v>9/16 MC</c:v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'pedal model'!$A$29:$A$38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xVal>
          <c:yVal>
            <c:numRef>
              <c:f>'pedal model'!$H$29:$H$38</c:f>
              <c:numCache>
                <c:formatCode>0.00</c:formatCode>
                <c:ptCount val="10"/>
                <c:pt idx="0">
                  <c:v>-2.4122915449185277E-2</c:v>
                </c:pt>
                <c:pt idx="1">
                  <c:v>1.8327829646827911E-2</c:v>
                </c:pt>
                <c:pt idx="2">
                  <c:v>6.1373455069997418E-2</c:v>
                </c:pt>
                <c:pt idx="3">
                  <c:v>0.1047067047085229</c:v>
                </c:pt>
                <c:pt idx="4">
                  <c:v>0.1480037119186372</c:v>
                </c:pt>
                <c:pt idx="5">
                  <c:v>0.19092510623693237</c:v>
                </c:pt>
                <c:pt idx="6">
                  <c:v>0.23311761238117112</c:v>
                </c:pt>
                <c:pt idx="7">
                  <c:v>0.27421624401445716</c:v>
                </c:pt>
                <c:pt idx="8">
                  <c:v>0.31384719445911347</c:v>
                </c:pt>
                <c:pt idx="9">
                  <c:v>0.35163151642832391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79-41E1-AD42-A62D364C7655}"/>
            </c:ext>
          </c:extLst>
        </c:ser>
        <c:ser>
          <c:idx val="2"/>
          <c:order val="2"/>
          <c:tx>
            <c:v>1/2 MC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'pedal model'!$A$29:$A$38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xVal>
          <c:yVal>
            <c:numRef>
              <c:f>'pedal model'!$I$29:$I$38</c:f>
              <c:numCache>
                <c:formatCode>0.00</c:formatCode>
                <c:ptCount val="10"/>
                <c:pt idx="0">
                  <c:v>-1.9689710972195778E-2</c:v>
                </c:pt>
                <c:pt idx="1">
                  <c:v>1.3851618486382545E-2</c:v>
                </c:pt>
                <c:pt idx="2">
                  <c:v>4.7862976845430061E-2</c:v>
                </c:pt>
                <c:pt idx="3">
                  <c:v>8.2101593843771178E-2</c:v>
                </c:pt>
                <c:pt idx="4">
                  <c:v>0.11631157484929359</c:v>
                </c:pt>
                <c:pt idx="5">
                  <c:v>0.1502247752983169</c:v>
                </c:pt>
                <c:pt idx="6">
                  <c:v>0.1835620641036414</c:v>
                </c:pt>
                <c:pt idx="7">
                  <c:v>0.21603505699907727</c:v>
                </c:pt>
                <c:pt idx="8">
                  <c:v>0.24734840056028717</c:v>
                </c:pt>
                <c:pt idx="9">
                  <c:v>0.27720267964707074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79-41E1-AD42-A62D364C7655}"/>
            </c:ext>
          </c:extLst>
        </c:ser>
        <c:ser>
          <c:idx val="3"/>
          <c:order val="3"/>
          <c:tx>
            <c:v>BMV Volume Input Limit</c:v>
          </c:tx>
          <c:spPr>
            <a:ln w="158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'pedal model'!$A$29:$A$38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xVal>
          <c:yVal>
            <c:numRef>
              <c:f>'pedal model'!$N$29:$N$38</c:f>
              <c:numCache>
                <c:formatCode>0.000</c:formatCode>
                <c:ptCount val="10"/>
                <c:pt idx="0">
                  <c:v>0.11</c:v>
                </c:pt>
                <c:pt idx="1">
                  <c:v>0.11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79-41E1-AD42-A62D364C7655}"/>
            </c:ext>
          </c:extLst>
        </c:ser>
        <c:ser>
          <c:idx val="4"/>
          <c:order val="4"/>
          <c:tx>
            <c:v>stroke limit</c:v>
          </c:tx>
          <c:spPr>
            <a:ln w="15875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'pedal model'!$O$29:$O$38</c:f>
              <c:numCache>
                <c:formatCode>0</c:formatCode>
                <c:ptCount val="10"/>
                <c:pt idx="0">
                  <c:v>41.314928026531987</c:v>
                </c:pt>
                <c:pt idx="1">
                  <c:v>41.314928026531987</c:v>
                </c:pt>
                <c:pt idx="2">
                  <c:v>41.314928026531987</c:v>
                </c:pt>
                <c:pt idx="3">
                  <c:v>41.314928026531987</c:v>
                </c:pt>
                <c:pt idx="4">
                  <c:v>41.314928026531987</c:v>
                </c:pt>
                <c:pt idx="5">
                  <c:v>41.314928026531987</c:v>
                </c:pt>
                <c:pt idx="6">
                  <c:v>41.314928026531987</c:v>
                </c:pt>
                <c:pt idx="7">
                  <c:v>41.314928026531987</c:v>
                </c:pt>
                <c:pt idx="8">
                  <c:v>41.314928026531987</c:v>
                </c:pt>
                <c:pt idx="9">
                  <c:v>41.314928026531987</c:v>
                </c:pt>
              </c:numCache>
            </c:numRef>
          </c:xVal>
          <c:yVal>
            <c:numRef>
              <c:f>'pedal model'!$G$29:$G$38</c:f>
              <c:numCache>
                <c:formatCode>0.00</c:formatCode>
                <c:ptCount val="10"/>
                <c:pt idx="0">
                  <c:v>-2.9077673394055901E-2</c:v>
                </c:pt>
                <c:pt idx="1">
                  <c:v>2.333065388497273E-2</c:v>
                </c:pt>
                <c:pt idx="2">
                  <c:v>7.6473401320984458E-2</c:v>
                </c:pt>
                <c:pt idx="3">
                  <c:v>0.12997124038089247</c:v>
                </c:pt>
                <c:pt idx="4">
                  <c:v>0.18342433570202127</c:v>
                </c:pt>
                <c:pt idx="5">
                  <c:v>0.23641371140362025</c:v>
                </c:pt>
                <c:pt idx="6">
                  <c:v>0.28850322516193966</c:v>
                </c:pt>
                <c:pt idx="7">
                  <c:v>0.33924227656105821</c:v>
                </c:pt>
                <c:pt idx="8">
                  <c:v>0.38816937587544875</c:v>
                </c:pt>
                <c:pt idx="9">
                  <c:v>0.43481668694854803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179-41E1-AD42-A62D364C7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403567"/>
        <c:axId val="1124408143"/>
      </c:scatterChart>
      <c:valAx>
        <c:axId val="1124403567"/>
        <c:scaling>
          <c:orientation val="minMax"/>
          <c:max val="4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pedal angle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08143"/>
        <c:crosses val="autoZero"/>
        <c:crossBetween val="midCat"/>
        <c:majorUnit val="5"/>
      </c:valAx>
      <c:valAx>
        <c:axId val="1124408143"/>
        <c:scaling>
          <c:orientation val="minMax"/>
          <c:max val="0.12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BMV vol</a:t>
                </a:r>
                <a:r>
                  <a:rPr lang="en-US" baseline="0"/>
                  <a:t> input 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[in^3]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0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54065900665089"/>
          <c:y val="0.40965526774654909"/>
          <c:w val="0.25487782768030565"/>
          <c:h val="0.38143733496454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Realized 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4"/>
          <c:tx>
            <c:v>stroke limit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'pedal model'!$O$29:$O$37</c:f>
              <c:numCache>
                <c:formatCode>0</c:formatCode>
                <c:ptCount val="9"/>
                <c:pt idx="0">
                  <c:v>41.314928026531987</c:v>
                </c:pt>
                <c:pt idx="1">
                  <c:v>41.314928026531987</c:v>
                </c:pt>
                <c:pt idx="2">
                  <c:v>41.314928026531987</c:v>
                </c:pt>
                <c:pt idx="3">
                  <c:v>41.314928026531987</c:v>
                </c:pt>
                <c:pt idx="4">
                  <c:v>41.314928026531987</c:v>
                </c:pt>
                <c:pt idx="5">
                  <c:v>41.314928026531987</c:v>
                </c:pt>
                <c:pt idx="6">
                  <c:v>41.314928026531987</c:v>
                </c:pt>
                <c:pt idx="7">
                  <c:v>41.314928026531987</c:v>
                </c:pt>
                <c:pt idx="8">
                  <c:v>41.314928026531987</c:v>
                </c:pt>
              </c:numCache>
              <c:extLst xmlns:c15="http://schemas.microsoft.com/office/drawing/2012/chart"/>
            </c:numRef>
          </c:xVal>
          <c:yVal>
            <c:numRef>
              <c:f>'pedal model'!#REF!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F4CC-4CAB-9F51-E560C3572FF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'pedal model'!$A$29:$A$37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'pedal model'!$M$29:$M$37</c:f>
              <c:numCache>
                <c:formatCode>0.00</c:formatCode>
                <c:ptCount val="9"/>
                <c:pt idx="0">
                  <c:v>0.96963284517509207</c:v>
                </c:pt>
                <c:pt idx="1">
                  <c:v>0.98675846020676172</c:v>
                </c:pt>
                <c:pt idx="2">
                  <c:v>0.99699752415104326</c:v>
                </c:pt>
                <c:pt idx="3">
                  <c:v>0.99995752114802039</c:v>
                </c:pt>
                <c:pt idx="4">
                  <c:v>0.99526653359662398</c:v>
                </c:pt>
                <c:pt idx="5">
                  <c:v>0.98258344998433167</c:v>
                </c:pt>
                <c:pt idx="6">
                  <c:v>0.96161048272955052</c:v>
                </c:pt>
                <c:pt idx="7">
                  <c:v>0.93210807647518934</c:v>
                </c:pt>
                <c:pt idx="8">
                  <c:v>0.89391210032789659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CC-4CAB-9F51-E560C3572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403567"/>
        <c:axId val="11244081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5/8 MC</c:v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'pedal model'!$A$29:$A$37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'pedal model'!$G$29:$G$37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-2.9077673394055901E-2</c:v>
                      </c:pt>
                      <c:pt idx="1">
                        <c:v>2.333065388497273E-2</c:v>
                      </c:pt>
                      <c:pt idx="2">
                        <c:v>7.6473401320984458E-2</c:v>
                      </c:pt>
                      <c:pt idx="3">
                        <c:v>0.12997124038089247</c:v>
                      </c:pt>
                      <c:pt idx="4">
                        <c:v>0.18342433570202127</c:v>
                      </c:pt>
                      <c:pt idx="5">
                        <c:v>0.23641371140362025</c:v>
                      </c:pt>
                      <c:pt idx="6">
                        <c:v>0.28850322516193966</c:v>
                      </c:pt>
                      <c:pt idx="7">
                        <c:v>0.33924227656105821</c:v>
                      </c:pt>
                      <c:pt idx="8">
                        <c:v>0.38816937587544875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4CC-4CAB-9F51-E560C3572FF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9/16 MC</c:v>
                </c:tx>
                <c:spPr>
                  <a:ln w="158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'pedal model'!$A$29:$A$37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'pedal model'!$H$29:$H$37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-2.4122915449185277E-2</c:v>
                      </c:pt>
                      <c:pt idx="1">
                        <c:v>1.8327829646827911E-2</c:v>
                      </c:pt>
                      <c:pt idx="2">
                        <c:v>6.1373455069997418E-2</c:v>
                      </c:pt>
                      <c:pt idx="3">
                        <c:v>0.1047067047085229</c:v>
                      </c:pt>
                      <c:pt idx="4">
                        <c:v>0.1480037119186372</c:v>
                      </c:pt>
                      <c:pt idx="5">
                        <c:v>0.19092510623693237</c:v>
                      </c:pt>
                      <c:pt idx="6">
                        <c:v>0.23311761238117112</c:v>
                      </c:pt>
                      <c:pt idx="7">
                        <c:v>0.27421624401445716</c:v>
                      </c:pt>
                      <c:pt idx="8">
                        <c:v>0.31384719445911347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4CC-4CAB-9F51-E560C3572FF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1/2 MC</c:v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'pedal model'!$A$29:$A$37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'pedal model'!$I$29:$I$37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-1.9689710972195778E-2</c:v>
                      </c:pt>
                      <c:pt idx="1">
                        <c:v>1.3851618486382545E-2</c:v>
                      </c:pt>
                      <c:pt idx="2">
                        <c:v>4.7862976845430061E-2</c:v>
                      </c:pt>
                      <c:pt idx="3">
                        <c:v>8.2101593843771178E-2</c:v>
                      </c:pt>
                      <c:pt idx="4">
                        <c:v>0.11631157484929359</c:v>
                      </c:pt>
                      <c:pt idx="5">
                        <c:v>0.1502247752983169</c:v>
                      </c:pt>
                      <c:pt idx="6">
                        <c:v>0.1835620641036414</c:v>
                      </c:pt>
                      <c:pt idx="7">
                        <c:v>0.21603505699907727</c:v>
                      </c:pt>
                      <c:pt idx="8">
                        <c:v>0.24734840056028717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4CC-4CAB-9F51-E560C3572FF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BMV input limit</c:v>
                </c:tx>
                <c:spPr>
                  <a:ln w="158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'pedal model'!$A$29:$A$37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'pedal model'!$N$29:$N$37</c15:sqref>
                        </c15:formulaRef>
                      </c:ext>
                    </c:extLst>
                    <c:numCache>
                      <c:formatCode>0.000</c:formatCode>
                      <c:ptCount val="9"/>
                      <c:pt idx="0">
                        <c:v>0.11</c:v>
                      </c:pt>
                      <c:pt idx="1">
                        <c:v>0.11</c:v>
                      </c:pt>
                      <c:pt idx="2">
                        <c:v>0.11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0.11</c:v>
                      </c:pt>
                      <c:pt idx="7">
                        <c:v>0.11</c:v>
                      </c:pt>
                      <c:pt idx="8">
                        <c:v>0.11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4CC-4CAB-9F51-E560C3572FF8}"/>
                  </c:ext>
                </c:extLst>
              </c15:ser>
            </c15:filteredScatterSeries>
          </c:ext>
        </c:extLst>
      </c:scatterChart>
      <c:valAx>
        <c:axId val="1124403567"/>
        <c:scaling>
          <c:orientation val="minMax"/>
          <c:max val="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pedal angle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08143"/>
        <c:crosses val="autoZero"/>
        <c:crossBetween val="midCat"/>
      </c:valAx>
      <c:valAx>
        <c:axId val="112440814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endParaRPr lang="en-US" baseline="0"/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0356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Brake</a:t>
            </a:r>
            <a:r>
              <a:rPr lang="en-US" baseline="0"/>
              <a:t> Pedal Feel Design Space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1"/>
          <c:tx>
            <c:v>Mil-B-8584 Max Force Window</c:v>
          </c:tx>
          <c:spPr>
            <a:ln w="254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('Brake feel deisgn space'!$C$11,'Brake feel deisgn space'!$C$10,'Brake feel deisgn space'!$C$10)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25</c:v>
                </c:pt>
              </c:numCache>
            </c:numRef>
          </c:xVal>
          <c:yVal>
            <c:numRef>
              <c:f>('Brake feel deisgn space'!$C$15,'Brake feel deisgn space'!$C$15,'Brake feel deisgn space'!$C$14)</c:f>
              <c:numCache>
                <c:formatCode>General</c:formatCode>
                <c:ptCount val="3"/>
                <c:pt idx="0">
                  <c:v>75</c:v>
                </c:pt>
                <c:pt idx="1">
                  <c:v>75</c:v>
                </c:pt>
                <c:pt idx="2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39-4BA5-AEE5-BE61E38D4AF1}"/>
            </c:ext>
          </c:extLst>
        </c:ser>
        <c:ser>
          <c:idx val="4"/>
          <c:order val="2"/>
          <c:tx>
            <c:v>mil-B-8584 max force window 2</c:v>
          </c:tx>
          <c:spPr>
            <a:ln w="254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('Brake feel deisgn space'!$C$11,'Brake feel deisgn space'!$C$11,'Brake feel deisgn space'!$C$10)</c:f>
              <c:numCache>
                <c:formatCode>General</c:formatCode>
                <c:ptCount val="3"/>
                <c:pt idx="0">
                  <c:v>15</c:v>
                </c:pt>
                <c:pt idx="1">
                  <c:v>15</c:v>
                </c:pt>
                <c:pt idx="2">
                  <c:v>25</c:v>
                </c:pt>
              </c:numCache>
            </c:numRef>
          </c:xVal>
          <c:yVal>
            <c:numRef>
              <c:f>('Brake feel deisgn space'!$C$15,'Brake feel deisgn space'!$C$14,'Brake feel deisgn space'!$C$14)</c:f>
              <c:numCache>
                <c:formatCode>General</c:formatCode>
                <c:ptCount val="3"/>
                <c:pt idx="0">
                  <c:v>75</c:v>
                </c:pt>
                <c:pt idx="1">
                  <c:v>125</c:v>
                </c:pt>
                <c:pt idx="2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39-4BA5-AEE5-BE61E38D4AF1}"/>
            </c:ext>
          </c:extLst>
        </c:ser>
        <c:ser>
          <c:idx val="5"/>
          <c:order val="3"/>
          <c:tx>
            <c:v>Initial Metering Window</c:v>
          </c:tx>
          <c:spPr>
            <a:ln w="25400" cap="rnd">
              <a:solidFill>
                <a:schemeClr val="accent6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('Brake feel deisgn space'!$C$16,'Brake feel deisgn space'!$C$17,'Brake feel deisgn space'!$C$17)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5</c:v>
                </c:pt>
              </c:numCache>
            </c:numRef>
          </c:xVal>
          <c:yVal>
            <c:numRef>
              <c:f>('Brake feel deisgn space'!$C$13,'Brake feel deisgn space'!$C$13,'Brake feel deisgn space'!$C$12)</c:f>
              <c:numCache>
                <c:formatCode>General</c:formatCode>
                <c:ptCount val="3"/>
                <c:pt idx="0">
                  <c:v>15</c:v>
                </c:pt>
                <c:pt idx="1">
                  <c:v>15</c:v>
                </c:pt>
                <c:pt idx="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39-4BA5-AEE5-BE61E38D4AF1}"/>
            </c:ext>
          </c:extLst>
        </c:ser>
        <c:ser>
          <c:idx val="6"/>
          <c:order val="4"/>
          <c:tx>
            <c:v>initial Metering Window 2</c:v>
          </c:tx>
          <c:spPr>
            <a:ln w="25400" cap="rnd">
              <a:solidFill>
                <a:schemeClr val="accent6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('Brake feel deisgn space'!$C$16,'Brake feel deisgn space'!$C$16,'Brake feel deisgn space'!$C$17)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</c:v>
                </c:pt>
              </c:numCache>
            </c:numRef>
          </c:xVal>
          <c:yVal>
            <c:numRef>
              <c:f>('Brake feel deisgn space'!$C$11,'Brake feel deisgn space'!$C$12,'Brake feel deisgn space'!$C$12)</c:f>
              <c:numCache>
                <c:formatCode>General</c:formatCode>
                <c:ptCount val="3"/>
                <c:pt idx="0">
                  <c:v>15</c:v>
                </c:pt>
                <c:pt idx="1">
                  <c:v>20</c:v>
                </c:pt>
                <c:pt idx="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3-4091-9A60-0300BCB5EB4B}"/>
            </c:ext>
          </c:extLst>
        </c:ser>
        <c:ser>
          <c:idx val="7"/>
          <c:order val="5"/>
          <c:tx>
            <c:v>Stroke bounds</c:v>
          </c:tx>
          <c:spPr>
            <a:ln w="127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2E3-4091-9A60-0300BCB5EB4B}"/>
              </c:ext>
            </c:extLst>
          </c:dPt>
          <c:dLbls>
            <c:delete val="1"/>
          </c:dLbls>
          <c:xVal>
            <c:numRef>
              <c:f>('Brake feel deisgn space'!$C$17,'Brake feel deisgn space'!$C$10)</c:f>
              <c:numCache>
                <c:formatCode>General</c:formatCode>
                <c:ptCount val="2"/>
                <c:pt idx="0">
                  <c:v>5</c:v>
                </c:pt>
                <c:pt idx="1">
                  <c:v>25</c:v>
                </c:pt>
              </c:numCache>
            </c:numRef>
          </c:xVal>
          <c:yVal>
            <c:numRef>
              <c:f>('Brake feel deisgn space'!$C$13,'Brake feel deisgn space'!$C$15)</c:f>
              <c:numCache>
                <c:formatCode>General</c:formatCode>
                <c:ptCount val="2"/>
                <c:pt idx="0">
                  <c:v>15</c:v>
                </c:pt>
                <c:pt idx="1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E3-4091-9A60-0300BCB5EB4B}"/>
            </c:ext>
          </c:extLst>
        </c:ser>
        <c:ser>
          <c:idx val="8"/>
          <c:order val="6"/>
          <c:tx>
            <c:v>stroke bounds, 2</c:v>
          </c:tx>
          <c:spPr>
            <a:ln w="127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('Brake feel deisgn space'!$C$16,'Brake feel deisgn space'!$C$13)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('Brake feel deisgn space'!$C$12,'Brake feel deisgn space'!$C$14)</c:f>
              <c:numCache>
                <c:formatCode>General</c:formatCode>
                <c:ptCount val="2"/>
                <c:pt idx="0">
                  <c:v>20</c:v>
                </c:pt>
                <c:pt idx="1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E3-4091-9A60-0300BCB5EB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106991"/>
        <c:axId val="14613070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Duff Design Point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extLst>
                      <c:ext uri="{02D57815-91ED-43cb-92C2-25804820EDAC}">
                        <c15:formulaRef>
                          <c15:sqref>'Brake feel deisgn space'!$C$7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'Brake feel deisgn space'!$C$6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BCB0-4EDA-AE01-8FD61571C8BB}"/>
                  </c:ext>
                </c:extLst>
              </c15:ser>
            </c15:filteredScatterSeries>
          </c:ext>
        </c:extLst>
      </c:scatterChart>
      <c:valAx>
        <c:axId val="14610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Pedal angle</a:t>
                </a:r>
                <a:r>
                  <a:rPr lang="en-US" baseline="0"/>
                  <a:t> [degrees]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0703"/>
        <c:crosses val="autoZero"/>
        <c:crossBetween val="midCat"/>
      </c:valAx>
      <c:valAx>
        <c:axId val="14613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Pedal</a:t>
                </a:r>
                <a:r>
                  <a:rPr lang="en-US" baseline="0"/>
                  <a:t> force [lbf]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0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Brake Feel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backward val="100"/>
            <c:dispRSqr val="0"/>
            <c:dispEq val="0"/>
          </c:trendline>
          <c:xVal>
            <c:numRef>
              <c:f>('Brake feel deisgn space'!$C$3,'Brake feel deisgn space'!$C$6)</c:f>
              <c:numCache>
                <c:formatCode>General</c:formatCode>
                <c:ptCount val="2"/>
                <c:pt idx="0">
                  <c:v>65</c:v>
                </c:pt>
                <c:pt idx="1">
                  <c:v>100</c:v>
                </c:pt>
              </c:numCache>
            </c:numRef>
          </c:xVal>
          <c:yVal>
            <c:numRef>
              <c:f>('Brake feel deisgn space'!$C$4,'Brake feel deisgn space'!$C$8)</c:f>
              <c:numCache>
                <c:formatCode>General</c:formatCode>
                <c:ptCount val="2"/>
                <c:pt idx="0">
                  <c:v>0.22</c:v>
                </c:pt>
                <c:pt idx="1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3-4CD7-8A42-E3F8D7285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618303"/>
        <c:axId val="930639935"/>
      </c:scatterChart>
      <c:valAx>
        <c:axId val="9306183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Pedal</a:t>
                </a:r>
                <a:r>
                  <a:rPr lang="en-US" baseline="0"/>
                  <a:t> Force [lbf]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39935"/>
        <c:crosses val="autoZero"/>
        <c:crossBetween val="midCat"/>
      </c:valAx>
      <c:valAx>
        <c:axId val="9306399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n_x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1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Brake</a:t>
            </a:r>
            <a:r>
              <a:rPr lang="en-US" baseline="0"/>
              <a:t> Pedal Feel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0837874106139E-2"/>
          <c:y val="0.13708476711104076"/>
          <c:w val="0.66068211550842304"/>
          <c:h val="0.6988004577223772"/>
        </c:manualLayout>
      </c:layout>
      <c:scatterChart>
        <c:scatterStyle val="lineMarker"/>
        <c:varyColors val="0"/>
        <c:ser>
          <c:idx val="2"/>
          <c:order val="1"/>
          <c:tx>
            <c:v>Mil-B-8584 Max Force Window</c:v>
          </c:tx>
          <c:spPr>
            <a:ln w="127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('Brake feel deisgn space'!$C$11,'Brake feel deisgn space'!$C$10,'Brake feel deisgn space'!$C$10)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25</c:v>
                </c:pt>
              </c:numCache>
            </c:numRef>
          </c:xVal>
          <c:yVal>
            <c:numRef>
              <c:f>('Brake feel deisgn space'!$C$15,'Brake feel deisgn space'!$C$15,'Brake feel deisgn space'!$C$14)</c:f>
              <c:numCache>
                <c:formatCode>General</c:formatCode>
                <c:ptCount val="3"/>
                <c:pt idx="0">
                  <c:v>75</c:v>
                </c:pt>
                <c:pt idx="1">
                  <c:v>75</c:v>
                </c:pt>
                <c:pt idx="2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F4-4EBF-9BBE-00CCC9A19F3A}"/>
            </c:ext>
          </c:extLst>
        </c:ser>
        <c:ser>
          <c:idx val="4"/>
          <c:order val="2"/>
          <c:tx>
            <c:v>mil-B-8584 max force window 2</c:v>
          </c:tx>
          <c:spPr>
            <a:ln w="1270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('Brake feel deisgn space'!$C$11,'Brake feel deisgn space'!$C$11,'Brake feel deisgn space'!$C$10)</c:f>
              <c:numCache>
                <c:formatCode>General</c:formatCode>
                <c:ptCount val="3"/>
                <c:pt idx="0">
                  <c:v>15</c:v>
                </c:pt>
                <c:pt idx="1">
                  <c:v>15</c:v>
                </c:pt>
                <c:pt idx="2">
                  <c:v>25</c:v>
                </c:pt>
              </c:numCache>
            </c:numRef>
          </c:xVal>
          <c:yVal>
            <c:numRef>
              <c:f>('Brake feel deisgn space'!$C$15,'Brake feel deisgn space'!$C$14,'Brake feel deisgn space'!$C$14)</c:f>
              <c:numCache>
                <c:formatCode>General</c:formatCode>
                <c:ptCount val="3"/>
                <c:pt idx="0">
                  <c:v>75</c:v>
                </c:pt>
                <c:pt idx="1">
                  <c:v>125</c:v>
                </c:pt>
                <c:pt idx="2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F4-4EBF-9BBE-00CCC9A19F3A}"/>
            </c:ext>
          </c:extLst>
        </c:ser>
        <c:ser>
          <c:idx val="5"/>
          <c:order val="3"/>
          <c:tx>
            <c:v>Initial Metering Window</c:v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('Brake feel deisgn space'!$C$16,'Brake feel deisgn space'!$C$17,'Brake feel deisgn space'!$C$17)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5</c:v>
                </c:pt>
              </c:numCache>
            </c:numRef>
          </c:xVal>
          <c:yVal>
            <c:numRef>
              <c:f>('Brake feel deisgn space'!$C$13,'Brake feel deisgn space'!$C$13,'Brake feel deisgn space'!$C$12)</c:f>
              <c:numCache>
                <c:formatCode>General</c:formatCode>
                <c:ptCount val="3"/>
                <c:pt idx="0">
                  <c:v>15</c:v>
                </c:pt>
                <c:pt idx="1">
                  <c:v>15</c:v>
                </c:pt>
                <c:pt idx="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F4-4EBF-9BBE-00CCC9A19F3A}"/>
            </c:ext>
          </c:extLst>
        </c:ser>
        <c:ser>
          <c:idx val="6"/>
          <c:order val="4"/>
          <c:tx>
            <c:v>initial Metering Window 2</c:v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('Brake feel deisgn space'!$C$16,'Brake feel deisgn space'!$C$16,'Brake feel deisgn space'!$C$17)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</c:v>
                </c:pt>
              </c:numCache>
            </c:numRef>
          </c:xVal>
          <c:yVal>
            <c:numRef>
              <c:f>('Brake feel deisgn space'!$C$11,'Brake feel deisgn space'!$C$12,'Brake feel deisgn space'!$C$12)</c:f>
              <c:numCache>
                <c:formatCode>General</c:formatCode>
                <c:ptCount val="3"/>
                <c:pt idx="0">
                  <c:v>15</c:v>
                </c:pt>
                <c:pt idx="1">
                  <c:v>20</c:v>
                </c:pt>
                <c:pt idx="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F4-4EBF-9BBE-00CCC9A19F3A}"/>
            </c:ext>
          </c:extLst>
        </c:ser>
        <c:ser>
          <c:idx val="7"/>
          <c:order val="5"/>
          <c:tx>
            <c:v>Stroke bounds</c:v>
          </c:tx>
          <c:spPr>
            <a:ln w="127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5F4-4EBF-9BBE-00CCC9A19F3A}"/>
              </c:ext>
            </c:extLst>
          </c:dPt>
          <c:xVal>
            <c:numRef>
              <c:f>('Brake feel deisgn space'!$C$17,'Brake feel deisgn space'!$C$10)</c:f>
              <c:numCache>
                <c:formatCode>General</c:formatCode>
                <c:ptCount val="2"/>
                <c:pt idx="0">
                  <c:v>5</c:v>
                </c:pt>
                <c:pt idx="1">
                  <c:v>25</c:v>
                </c:pt>
              </c:numCache>
            </c:numRef>
          </c:xVal>
          <c:yVal>
            <c:numRef>
              <c:f>('Brake feel deisgn space'!$C$13,'Brake feel deisgn space'!$C$15)</c:f>
              <c:numCache>
                <c:formatCode>General</c:formatCode>
                <c:ptCount val="2"/>
                <c:pt idx="0">
                  <c:v>15</c:v>
                </c:pt>
                <c:pt idx="1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F4-4EBF-9BBE-00CCC9A19F3A}"/>
            </c:ext>
          </c:extLst>
        </c:ser>
        <c:ser>
          <c:idx val="8"/>
          <c:order val="6"/>
          <c:tx>
            <c:v>stroke bounds, 2</c:v>
          </c:tx>
          <c:spPr>
            <a:ln w="127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('Brake feel deisgn space'!$C$16,'Brake feel deisgn space'!$C$13)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('Brake feel deisgn space'!$C$12,'Brake feel deisgn space'!$C$14)</c:f>
              <c:numCache>
                <c:formatCode>General</c:formatCode>
                <c:ptCount val="2"/>
                <c:pt idx="0">
                  <c:v>20</c:v>
                </c:pt>
                <c:pt idx="1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F4-4EBF-9BBE-00CCC9A19F3A}"/>
            </c:ext>
          </c:extLst>
        </c:ser>
        <c:ser>
          <c:idx val="0"/>
          <c:order val="7"/>
          <c:tx>
            <c:v>Feel Curve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'engine run install'!$N$65:$N$77</c:f>
              <c:numCache>
                <c:formatCode>0.0</c:formatCode>
                <c:ptCount val="13"/>
                <c:pt idx="0">
                  <c:v>0</c:v>
                </c:pt>
                <c:pt idx="1">
                  <c:v>2.9351417027925915</c:v>
                </c:pt>
                <c:pt idx="2">
                  <c:v>3.8457574238426471</c:v>
                </c:pt>
                <c:pt idx="3">
                  <c:v>4.7563731448927022</c:v>
                </c:pt>
                <c:pt idx="4">
                  <c:v>6.5558024660198324</c:v>
                </c:pt>
                <c:pt idx="5">
                  <c:v>8.3518649218303231</c:v>
                </c:pt>
                <c:pt idx="6">
                  <c:v>10.146945510453872</c:v>
                </c:pt>
                <c:pt idx="7">
                  <c:v>11.931086611210402</c:v>
                </c:pt>
                <c:pt idx="8">
                  <c:v>13.715227711966932</c:v>
                </c:pt>
                <c:pt idx="9">
                  <c:v>15.49978681709864</c:v>
                </c:pt>
                <c:pt idx="10">
                  <c:v>17.285421360711524</c:v>
                </c:pt>
                <c:pt idx="11">
                  <c:v>19.07105590432441</c:v>
                </c:pt>
                <c:pt idx="12">
                  <c:v>19.07105590432441</c:v>
                </c:pt>
              </c:numCache>
            </c:numRef>
          </c:xVal>
          <c:yVal>
            <c:numRef>
              <c:f>'engine run install'!$U$65:$U$77</c:f>
              <c:numCache>
                <c:formatCode>0.0</c:formatCode>
                <c:ptCount val="13"/>
                <c:pt idx="0">
                  <c:v>2.3504750128635266</c:v>
                </c:pt>
                <c:pt idx="1">
                  <c:v>6.726038370907494</c:v>
                </c:pt>
                <c:pt idx="2">
                  <c:v>10.056491928980893</c:v>
                </c:pt>
                <c:pt idx="3">
                  <c:v>19.364669693800941</c:v>
                </c:pt>
                <c:pt idx="4">
                  <c:v>38.062866461572867</c:v>
                </c:pt>
                <c:pt idx="5">
                  <c:v>56.870184880187161</c:v>
                </c:pt>
                <c:pt idx="6">
                  <c:v>75.694170588429159</c:v>
                </c:pt>
                <c:pt idx="7">
                  <c:v>94.500767329691541</c:v>
                </c:pt>
                <c:pt idx="8">
                  <c:v>113.33870051453445</c:v>
                </c:pt>
                <c:pt idx="9">
                  <c:v>132.19619595806705</c:v>
                </c:pt>
                <c:pt idx="10">
                  <c:v>150.76927482237656</c:v>
                </c:pt>
                <c:pt idx="11">
                  <c:v>169.29265028679663</c:v>
                </c:pt>
                <c:pt idx="12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AA-4E7B-AE5E-E8DA5480E6F8}"/>
            </c:ext>
          </c:extLst>
        </c:ser>
        <c:ser>
          <c:idx val="3"/>
          <c:order val="8"/>
          <c:tx>
            <c:v>initial braking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xVal>
            <c:numRef>
              <c:f>'engine run install'!$C$41</c:f>
              <c:numCache>
                <c:formatCode>0.0</c:formatCode>
                <c:ptCount val="1"/>
                <c:pt idx="0">
                  <c:v>5.2219566613659447</c:v>
                </c:pt>
              </c:numCache>
            </c:numRef>
          </c:xVal>
          <c:yVal>
            <c:numRef>
              <c:f>'engine run install'!$C$42</c:f>
              <c:numCache>
                <c:formatCode>0</c:formatCode>
                <c:ptCount val="1"/>
                <c:pt idx="0">
                  <c:v>24.202632541596962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AA-4E7B-AE5E-E8DA5480E6F8}"/>
            </c:ext>
          </c:extLst>
        </c:ser>
        <c:ser>
          <c:idx val="9"/>
          <c:order val="9"/>
          <c:tx>
            <c:v>Initial pressure metering to brakes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'engine run install'!$C$44</c:f>
              <c:numCache>
                <c:formatCode>0</c:formatCode>
                <c:ptCount val="1"/>
                <c:pt idx="0">
                  <c:v>4.0673352057494823</c:v>
                </c:pt>
              </c:numCache>
            </c:numRef>
          </c:xVal>
          <c:yVal>
            <c:numRef>
              <c:f>'engine run install'!$C$45</c:f>
              <c:numCache>
                <c:formatCode>0</c:formatCode>
                <c:ptCount val="1"/>
                <c:pt idx="0">
                  <c:v>12.321426890069686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AA-4E7B-AE5E-E8DA5480E6F8}"/>
            </c:ext>
          </c:extLst>
        </c:ser>
        <c:ser>
          <c:idx val="10"/>
          <c:order val="10"/>
          <c:tx>
            <c:v>MC deadband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('engine run install'!$N$65,'engine run install'!$C$47)</c:f>
              <c:numCache>
                <c:formatCode>0</c:formatCode>
                <c:ptCount val="2"/>
                <c:pt idx="0" formatCode="0.0">
                  <c:v>0</c:v>
                </c:pt>
                <c:pt idx="1">
                  <c:v>2.4879322378689017</c:v>
                </c:pt>
              </c:numCache>
            </c:numRef>
          </c:xVal>
          <c:yVal>
            <c:numRef>
              <c:f>('engine run install'!$U$65,'engine run install'!$C$48)</c:f>
              <c:numCache>
                <c:formatCode>0</c:formatCode>
                <c:ptCount val="2"/>
                <c:pt idx="0" formatCode="0.0">
                  <c:v>2.3504750128635266</c:v>
                </c:pt>
                <c:pt idx="1">
                  <c:v>6.0593607293378255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EB-4A12-937E-184C00A6642E}"/>
            </c:ext>
          </c:extLst>
        </c:ser>
        <c:ser>
          <c:idx val="11"/>
          <c:order val="11"/>
          <c:tx>
            <c:v>hose expansion deadband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('engine run install'!$C$47,'engine run install'!$C$52)</c:f>
              <c:numCache>
                <c:formatCode>0</c:formatCode>
                <c:ptCount val="2"/>
                <c:pt idx="0">
                  <c:v>2.4879322378689017</c:v>
                </c:pt>
                <c:pt idx="1">
                  <c:v>2.9351417027925915</c:v>
                </c:pt>
              </c:numCache>
            </c:numRef>
          </c:xVal>
          <c:yVal>
            <c:numRef>
              <c:f>('engine run install'!$C$48,'engine run install'!$C$53)</c:f>
              <c:numCache>
                <c:formatCode>0</c:formatCode>
                <c:ptCount val="2"/>
                <c:pt idx="0">
                  <c:v>6.0593607293378255</c:v>
                </c:pt>
                <c:pt idx="1">
                  <c:v>6.726038370907494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EB-4A12-937E-184C00A6642E}"/>
            </c:ext>
          </c:extLst>
        </c:ser>
        <c:ser>
          <c:idx val="12"/>
          <c:order val="12"/>
          <c:tx>
            <c:v>BMV deadband</c:v>
          </c:tx>
          <c:spPr>
            <a:ln w="19050" cap="rnd">
              <a:solidFill>
                <a:srgbClr val="00CCFF"/>
              </a:solidFill>
              <a:round/>
            </a:ln>
            <a:effectLst/>
          </c:spPr>
          <c:marker>
            <c:symbol val="none"/>
          </c:marker>
          <c:xVal>
            <c:numRef>
              <c:f>('engine run install'!$C$52,'engine run install'!$C$44)</c:f>
              <c:numCache>
                <c:formatCode>0</c:formatCode>
                <c:ptCount val="2"/>
                <c:pt idx="0">
                  <c:v>2.9351417027925915</c:v>
                </c:pt>
                <c:pt idx="1">
                  <c:v>4.0673352057494823</c:v>
                </c:pt>
              </c:numCache>
            </c:numRef>
          </c:xVal>
          <c:yVal>
            <c:numRef>
              <c:f>('engine run install'!$C$53,'engine run install'!$C$45)</c:f>
              <c:numCache>
                <c:formatCode>0</c:formatCode>
                <c:ptCount val="2"/>
                <c:pt idx="0">
                  <c:v>6.726038370907494</c:v>
                </c:pt>
                <c:pt idx="1">
                  <c:v>12.321426890069686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CEB-4A12-937E-184C00A66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06991"/>
        <c:axId val="14613070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Duff Design Point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'Brake feel deisgn space'!$C$7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'Brake feel deisgn space'!$C$6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5F4-4EBF-9BBE-00CCC9A19F3A}"/>
                  </c:ext>
                </c:extLst>
              </c15:ser>
            </c15:filteredScatterSeries>
          </c:ext>
        </c:extLst>
      </c:scatterChart>
      <c:valAx>
        <c:axId val="146106991"/>
        <c:scaling>
          <c:orientation val="minMax"/>
          <c:max val="27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Pedal angle</a:t>
                </a:r>
                <a:r>
                  <a:rPr lang="en-US" baseline="0"/>
                  <a:t> [degrees]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0703"/>
        <c:crosses val="autoZero"/>
        <c:crossBetween val="midCat"/>
      </c:valAx>
      <c:valAx>
        <c:axId val="146130703"/>
        <c:scaling>
          <c:orientation val="minMax"/>
          <c:max val="1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Pedal</a:t>
                </a:r>
                <a:r>
                  <a:rPr lang="en-US" baseline="0"/>
                  <a:t> force [lbf]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0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5496388258178915"/>
          <c:y val="0.25065097882152898"/>
          <c:w val="0.24503619817266162"/>
          <c:h val="0.502012675434984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Brake Feel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Target curve</c:v>
          </c:tx>
          <c:spPr>
            <a:ln w="25400" cap="rnd">
              <a:noFill/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backward val="100"/>
            <c:dispRSqr val="0"/>
            <c:dispEq val="0"/>
          </c:trendline>
          <c:xVal>
            <c:numRef>
              <c:f>('Brake feel deisgn space'!$C$3,'Brake feel deisgn space'!$C$6)</c:f>
              <c:numCache>
                <c:formatCode>General</c:formatCode>
                <c:ptCount val="2"/>
                <c:pt idx="0">
                  <c:v>65</c:v>
                </c:pt>
                <c:pt idx="1">
                  <c:v>100</c:v>
                </c:pt>
              </c:numCache>
            </c:numRef>
          </c:xVal>
          <c:yVal>
            <c:numRef>
              <c:f>('Brake feel deisgn space'!$C$4,'Brake feel deisgn space'!$C$8)</c:f>
              <c:numCache>
                <c:formatCode>General</c:formatCode>
                <c:ptCount val="2"/>
                <c:pt idx="0">
                  <c:v>0.22</c:v>
                </c:pt>
                <c:pt idx="1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4A-4735-BD9E-8798009936AC}"/>
            </c:ext>
          </c:extLst>
        </c:ser>
        <c:ser>
          <c:idx val="1"/>
          <c:order val="1"/>
          <c:tx>
            <c:v>17,000 lbm, 0 KEAS</c:v>
          </c:tx>
          <c:spPr>
            <a:ln w="25400" cap="rnd">
              <a:solidFill>
                <a:srgbClr val="FF66FF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'engine run install'!$U$65:$U$77</c:f>
              <c:numCache>
                <c:formatCode>0.0</c:formatCode>
                <c:ptCount val="13"/>
                <c:pt idx="0">
                  <c:v>2.3504750128635266</c:v>
                </c:pt>
                <c:pt idx="1">
                  <c:v>6.726038370907494</c:v>
                </c:pt>
                <c:pt idx="2">
                  <c:v>10.056491928980893</c:v>
                </c:pt>
                <c:pt idx="3">
                  <c:v>19.364669693800941</c:v>
                </c:pt>
                <c:pt idx="4">
                  <c:v>38.062866461572867</c:v>
                </c:pt>
                <c:pt idx="5">
                  <c:v>56.870184880187161</c:v>
                </c:pt>
                <c:pt idx="6">
                  <c:v>75.694170588429159</c:v>
                </c:pt>
                <c:pt idx="7">
                  <c:v>94.500767329691541</c:v>
                </c:pt>
                <c:pt idx="8">
                  <c:v>113.33870051453445</c:v>
                </c:pt>
                <c:pt idx="9">
                  <c:v>132.19619595806705</c:v>
                </c:pt>
                <c:pt idx="10">
                  <c:v>150.76927482237656</c:v>
                </c:pt>
                <c:pt idx="11">
                  <c:v>169.29265028679663</c:v>
                </c:pt>
                <c:pt idx="12">
                  <c:v>200</c:v>
                </c:pt>
              </c:numCache>
            </c:numRef>
          </c:xVal>
          <c:yVal>
            <c:numRef>
              <c:f>'engine run install'!$AA$65:$AA$77</c:f>
              <c:numCache>
                <c:formatCode>0.00</c:formatCode>
                <c:ptCount val="13"/>
                <c:pt idx="0">
                  <c:v>-4.5264508012308753E-2</c:v>
                </c:pt>
                <c:pt idx="1">
                  <c:v>-4.5264508012308753E-2</c:v>
                </c:pt>
                <c:pt idx="2">
                  <c:v>-4.5264508012308753E-2</c:v>
                </c:pt>
                <c:pt idx="3">
                  <c:v>-4.5264508012308753E-2</c:v>
                </c:pt>
                <c:pt idx="4">
                  <c:v>8.4567298483366374E-2</c:v>
                </c:pt>
                <c:pt idx="5">
                  <c:v>0.18700026699953004</c:v>
                </c:pt>
                <c:pt idx="6">
                  <c:v>0.2556935389309134</c:v>
                </c:pt>
                <c:pt idx="7">
                  <c:v>0.32161360780103165</c:v>
                </c:pt>
                <c:pt idx="8">
                  <c:v>0.3783505562240585</c:v>
                </c:pt>
                <c:pt idx="9">
                  <c:v>0.43508750464708529</c:v>
                </c:pt>
                <c:pt idx="10">
                  <c:v>0.48285128726699261</c:v>
                </c:pt>
                <c:pt idx="11">
                  <c:v>0.52825304389529881</c:v>
                </c:pt>
                <c:pt idx="12">
                  <c:v>0.52825304389529881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4A-4735-BD9E-8798009936AC}"/>
            </c:ext>
          </c:extLst>
        </c:ser>
        <c:ser>
          <c:idx val="2"/>
          <c:order val="2"/>
          <c:tx>
            <c:v>13,000 lbm, 150 KEAS</c:v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'engine run install'!$U$65:$U$77</c:f>
              <c:numCache>
                <c:formatCode>0.0</c:formatCode>
                <c:ptCount val="13"/>
                <c:pt idx="0">
                  <c:v>2.3504750128635266</c:v>
                </c:pt>
                <c:pt idx="1">
                  <c:v>6.726038370907494</c:v>
                </c:pt>
                <c:pt idx="2">
                  <c:v>10.056491928980893</c:v>
                </c:pt>
                <c:pt idx="3">
                  <c:v>19.364669693800941</c:v>
                </c:pt>
                <c:pt idx="4">
                  <c:v>38.062866461572867</c:v>
                </c:pt>
                <c:pt idx="5">
                  <c:v>56.870184880187161</c:v>
                </c:pt>
                <c:pt idx="6">
                  <c:v>75.694170588429159</c:v>
                </c:pt>
                <c:pt idx="7">
                  <c:v>94.500767329691541</c:v>
                </c:pt>
                <c:pt idx="8">
                  <c:v>113.33870051453445</c:v>
                </c:pt>
                <c:pt idx="9">
                  <c:v>132.19619595806705</c:v>
                </c:pt>
                <c:pt idx="10">
                  <c:v>150.76927482237656</c:v>
                </c:pt>
                <c:pt idx="11">
                  <c:v>169.29265028679663</c:v>
                </c:pt>
                <c:pt idx="12">
                  <c:v>200</c:v>
                </c:pt>
              </c:numCache>
            </c:numRef>
          </c:xVal>
          <c:yVal>
            <c:numRef>
              <c:f>'engine run install'!$AD$65:$AD$77</c:f>
              <c:numCache>
                <c:formatCode>0.00</c:formatCode>
                <c:ptCount val="13"/>
                <c:pt idx="0">
                  <c:v>-1.1079855595550305E-4</c:v>
                </c:pt>
                <c:pt idx="1">
                  <c:v>-1.1079855595550305E-4</c:v>
                </c:pt>
                <c:pt idx="2">
                  <c:v>-1.1079855595550305E-4</c:v>
                </c:pt>
                <c:pt idx="3">
                  <c:v>-1.1079855595550305E-4</c:v>
                </c:pt>
                <c:pt idx="4">
                  <c:v>0.16966925609223507</c:v>
                </c:pt>
                <c:pt idx="5">
                  <c:v>0.30362006107491063</c:v>
                </c:pt>
                <c:pt idx="6">
                  <c:v>0.39344972436979658</c:v>
                </c:pt>
                <c:pt idx="7">
                  <c:v>0.47965289135379741</c:v>
                </c:pt>
                <c:pt idx="8">
                  <c:v>0.55384736236852483</c:v>
                </c:pt>
                <c:pt idx="9">
                  <c:v>0.62804183338325215</c:v>
                </c:pt>
                <c:pt idx="10">
                  <c:v>0.69050216450159263</c:v>
                </c:pt>
                <c:pt idx="11">
                  <c:v>0.74987369240014667</c:v>
                </c:pt>
                <c:pt idx="12">
                  <c:v>0.74987369240014667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4A-4735-BD9E-8798009936AC}"/>
            </c:ext>
          </c:extLst>
        </c:ser>
        <c:ser>
          <c:idx val="7"/>
          <c:order val="7"/>
          <c:tx>
            <c:v>17,000 lbm, 150 KEAS</c:v>
          </c:tx>
          <c:spPr>
            <a:ln w="25400" cap="rnd">
              <a:solidFill>
                <a:srgbClr val="FF66FF"/>
              </a:solidFill>
              <a:round/>
            </a:ln>
            <a:effectLst/>
          </c:spPr>
          <c:marker>
            <c:symbol val="none"/>
          </c:marker>
          <c:xVal>
            <c:numRef>
              <c:f>'engine run install'!$U$65:$U$77</c:f>
              <c:numCache>
                <c:formatCode>0.0</c:formatCode>
                <c:ptCount val="13"/>
                <c:pt idx="0">
                  <c:v>2.3504750128635266</c:v>
                </c:pt>
                <c:pt idx="1">
                  <c:v>6.726038370907494</c:v>
                </c:pt>
                <c:pt idx="2">
                  <c:v>10.056491928980893</c:v>
                </c:pt>
                <c:pt idx="3">
                  <c:v>19.364669693800941</c:v>
                </c:pt>
                <c:pt idx="4">
                  <c:v>38.062866461572867</c:v>
                </c:pt>
                <c:pt idx="5">
                  <c:v>56.870184880187161</c:v>
                </c:pt>
                <c:pt idx="6">
                  <c:v>75.694170588429159</c:v>
                </c:pt>
                <c:pt idx="7">
                  <c:v>94.500767329691541</c:v>
                </c:pt>
                <c:pt idx="8">
                  <c:v>113.33870051453445</c:v>
                </c:pt>
                <c:pt idx="9">
                  <c:v>132.19619595806705</c:v>
                </c:pt>
                <c:pt idx="10">
                  <c:v>150.76927482237656</c:v>
                </c:pt>
                <c:pt idx="11">
                  <c:v>169.29265028679663</c:v>
                </c:pt>
                <c:pt idx="12">
                  <c:v>200</c:v>
                </c:pt>
              </c:numCache>
            </c:numRef>
          </c:xVal>
          <c:yVal>
            <c:numRef>
              <c:f>'engine run install'!$AG$65:$AG$77</c:f>
              <c:numCache>
                <c:formatCode>0.00</c:formatCode>
                <c:ptCount val="13"/>
                <c:pt idx="0">
                  <c:v>-3.814785556066303E-3</c:v>
                </c:pt>
                <c:pt idx="1">
                  <c:v>-3.814785556066303E-3</c:v>
                </c:pt>
                <c:pt idx="2">
                  <c:v>-3.814785556066303E-3</c:v>
                </c:pt>
                <c:pt idx="3">
                  <c:v>-3.814785556066303E-3</c:v>
                </c:pt>
                <c:pt idx="4">
                  <c:v>0.12601702093960881</c:v>
                </c:pt>
                <c:pt idx="5">
                  <c:v>0.2284499894557725</c:v>
                </c:pt>
                <c:pt idx="6">
                  <c:v>0.29714326138715585</c:v>
                </c:pt>
                <c:pt idx="7">
                  <c:v>0.36306333025727416</c:v>
                </c:pt>
                <c:pt idx="8">
                  <c:v>0.41980027868030095</c:v>
                </c:pt>
                <c:pt idx="9">
                  <c:v>0.47653722710332769</c:v>
                </c:pt>
                <c:pt idx="10">
                  <c:v>0.52430100972323512</c:v>
                </c:pt>
                <c:pt idx="11">
                  <c:v>0.56970276635154127</c:v>
                </c:pt>
                <c:pt idx="12">
                  <c:v>0.56970276635154127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6F-4883-ACA3-74644D1D3FC8}"/>
            </c:ext>
          </c:extLst>
        </c:ser>
        <c:ser>
          <c:idx val="8"/>
          <c:order val="8"/>
          <c:tx>
            <c:v>13,000 lbm, 0 KEAS</c:v>
          </c:tx>
          <c:spPr>
            <a:ln w="2540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'engine run install'!$U$65:$U$77</c:f>
              <c:numCache>
                <c:formatCode>0.0</c:formatCode>
                <c:ptCount val="13"/>
                <c:pt idx="0">
                  <c:v>2.3504750128635266</c:v>
                </c:pt>
                <c:pt idx="1">
                  <c:v>6.726038370907494</c:v>
                </c:pt>
                <c:pt idx="2">
                  <c:v>10.056491928980893</c:v>
                </c:pt>
                <c:pt idx="3">
                  <c:v>19.364669693800941</c:v>
                </c:pt>
                <c:pt idx="4">
                  <c:v>38.062866461572867</c:v>
                </c:pt>
                <c:pt idx="5">
                  <c:v>56.870184880187161</c:v>
                </c:pt>
                <c:pt idx="6">
                  <c:v>75.694170588429159</c:v>
                </c:pt>
                <c:pt idx="7">
                  <c:v>94.500767329691541</c:v>
                </c:pt>
                <c:pt idx="8">
                  <c:v>113.33870051453445</c:v>
                </c:pt>
                <c:pt idx="9">
                  <c:v>132.19619595806705</c:v>
                </c:pt>
                <c:pt idx="10">
                  <c:v>150.76927482237656</c:v>
                </c:pt>
                <c:pt idx="11">
                  <c:v>169.29265028679663</c:v>
                </c:pt>
                <c:pt idx="12">
                  <c:v>200</c:v>
                </c:pt>
              </c:numCache>
            </c:numRef>
          </c:xVal>
          <c:yVal>
            <c:numRef>
              <c:f>'engine run install'!$AJ$65:$AJ$77</c:f>
              <c:numCache>
                <c:formatCode>0.00</c:formatCode>
                <c:ptCount val="13"/>
                <c:pt idx="0">
                  <c:v>-5.4314281767964871E-2</c:v>
                </c:pt>
                <c:pt idx="1">
                  <c:v>-5.4314281767964871E-2</c:v>
                </c:pt>
                <c:pt idx="2">
                  <c:v>-5.4314281767964871E-2</c:v>
                </c:pt>
                <c:pt idx="3">
                  <c:v>-5.4314281767964871E-2</c:v>
                </c:pt>
                <c:pt idx="4">
                  <c:v>0.11546577288022568</c:v>
                </c:pt>
                <c:pt idx="5">
                  <c:v>0.24941657786290128</c:v>
                </c:pt>
                <c:pt idx="6">
                  <c:v>0.33924624115778718</c:v>
                </c:pt>
                <c:pt idx="7">
                  <c:v>0.425449408141788</c:v>
                </c:pt>
                <c:pt idx="8">
                  <c:v>0.49964387915651542</c:v>
                </c:pt>
                <c:pt idx="9">
                  <c:v>0.57383835017124274</c:v>
                </c:pt>
                <c:pt idx="10">
                  <c:v>0.63629868128958311</c:v>
                </c:pt>
                <c:pt idx="11">
                  <c:v>0.69567020918813738</c:v>
                </c:pt>
                <c:pt idx="12">
                  <c:v>0.69567020918813738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6F-4883-ACA3-74644D1D3FC8}"/>
            </c:ext>
          </c:extLst>
        </c:ser>
        <c:ser>
          <c:idx val="9"/>
          <c:order val="9"/>
          <c:tx>
            <c:v>light</c:v>
          </c:tx>
          <c:spPr>
            <a:ln w="2540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210</c:v>
              </c:pt>
            </c:numLit>
          </c:xVal>
          <c:yVal>
            <c:numLit>
              <c:formatCode>General</c:formatCode>
              <c:ptCount val="2"/>
              <c:pt idx="0">
                <c:v>0.124</c:v>
              </c:pt>
              <c:pt idx="1">
                <c:v>0.124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4FA-4EDD-BC6C-AFA995416E25}"/>
            </c:ext>
          </c:extLst>
        </c:ser>
        <c:ser>
          <c:idx val="10"/>
          <c:order val="10"/>
          <c:tx>
            <c:v>moderate</c:v>
          </c:tx>
          <c:spPr>
            <a:ln w="2540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210</c:v>
              </c:pt>
            </c:numLit>
          </c:xVal>
          <c:yVal>
            <c:numLit>
              <c:formatCode>General</c:formatCode>
              <c:ptCount val="2"/>
              <c:pt idx="0">
                <c:v>0.248</c:v>
              </c:pt>
              <c:pt idx="1">
                <c:v>0.248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4FA-4EDD-BC6C-AFA995416E25}"/>
            </c:ext>
          </c:extLst>
        </c:ser>
        <c:ser>
          <c:idx val="11"/>
          <c:order val="11"/>
          <c:tx>
            <c:v>heavy</c:v>
          </c:tx>
          <c:spPr>
            <a:ln w="25400" cap="rnd">
              <a:solidFill>
                <a:srgbClr val="EBAEAD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200</c:v>
              </c:pt>
            </c:numLit>
          </c:xVal>
          <c:yVal>
            <c:numLit>
              <c:formatCode>General</c:formatCode>
              <c:ptCount val="2"/>
              <c:pt idx="0">
                <c:v>0.373</c:v>
              </c:pt>
              <c:pt idx="1">
                <c:v>0.373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4FA-4EDD-BC6C-AFA995416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618303"/>
        <c:axId val="930639935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low</c:v>
                </c:tx>
                <c:spPr>
                  <a:ln w="25400" cap="rnd">
                    <a:solidFill>
                      <a:srgbClr val="00B0F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'engine run install'!$U$65:$U$77</c15:sqref>
                        </c15:formulaRef>
                      </c:ext>
                    </c:extLst>
                    <c:numCache>
                      <c:formatCode>0.0</c:formatCode>
                      <c:ptCount val="13"/>
                      <c:pt idx="0">
                        <c:v>2.3504750128635266</c:v>
                      </c:pt>
                      <c:pt idx="1">
                        <c:v>6.726038370907494</c:v>
                      </c:pt>
                      <c:pt idx="2">
                        <c:v>10.056491928980893</c:v>
                      </c:pt>
                      <c:pt idx="3">
                        <c:v>19.364669693800941</c:v>
                      </c:pt>
                      <c:pt idx="4">
                        <c:v>38.062866461572867</c:v>
                      </c:pt>
                      <c:pt idx="5">
                        <c:v>56.870184880187161</c:v>
                      </c:pt>
                      <c:pt idx="6">
                        <c:v>75.694170588429159</c:v>
                      </c:pt>
                      <c:pt idx="7">
                        <c:v>94.500767329691541</c:v>
                      </c:pt>
                      <c:pt idx="8">
                        <c:v>113.33870051453445</c:v>
                      </c:pt>
                      <c:pt idx="9">
                        <c:v>132.19619595806705</c:v>
                      </c:pt>
                      <c:pt idx="10">
                        <c:v>150.76927482237656</c:v>
                      </c:pt>
                      <c:pt idx="11">
                        <c:v>169.29265028679663</c:v>
                      </c:pt>
                      <c:pt idx="12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'engine run install'!$AA$84:$AA$95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-4.5264508012308753E-2</c:v>
                      </c:pt>
                      <c:pt idx="1">
                        <c:v>-4.5264508012308753E-2</c:v>
                      </c:pt>
                      <c:pt idx="2">
                        <c:v>-4.5264508012308753E-2</c:v>
                      </c:pt>
                      <c:pt idx="3">
                        <c:v>6.5092527509015091E-2</c:v>
                      </c:pt>
                      <c:pt idx="4">
                        <c:v>0.1521605507477542</c:v>
                      </c:pt>
                      <c:pt idx="5">
                        <c:v>0.21054983188943011</c:v>
                      </c:pt>
                      <c:pt idx="6">
                        <c:v>0.26658189042903063</c:v>
                      </c:pt>
                      <c:pt idx="7">
                        <c:v>0.31480829658860338</c:v>
                      </c:pt>
                      <c:pt idx="8">
                        <c:v>0.36303470274817617</c:v>
                      </c:pt>
                      <c:pt idx="9">
                        <c:v>0.40363391797509746</c:v>
                      </c:pt>
                      <c:pt idx="10">
                        <c:v>0.4422254111091577</c:v>
                      </c:pt>
                      <c:pt idx="11">
                        <c:v>0.4422254111091577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773-4D35-844D-39FAA0466D0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low</c:v>
                </c:tx>
                <c:spPr>
                  <a:ln w="25400" cap="rnd">
                    <a:solidFill>
                      <a:srgbClr val="00B0F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'engine run install'!$U$65:$U$77</c15:sqref>
                        </c15:formulaRef>
                      </c:ext>
                    </c:extLst>
                    <c:numCache>
                      <c:formatCode>0.0</c:formatCode>
                      <c:ptCount val="13"/>
                      <c:pt idx="0">
                        <c:v>2.3504750128635266</c:v>
                      </c:pt>
                      <c:pt idx="1">
                        <c:v>6.726038370907494</c:v>
                      </c:pt>
                      <c:pt idx="2">
                        <c:v>10.056491928980893</c:v>
                      </c:pt>
                      <c:pt idx="3">
                        <c:v>19.364669693800941</c:v>
                      </c:pt>
                      <c:pt idx="4">
                        <c:v>38.062866461572867</c:v>
                      </c:pt>
                      <c:pt idx="5">
                        <c:v>56.870184880187161</c:v>
                      </c:pt>
                      <c:pt idx="6">
                        <c:v>75.694170588429159</c:v>
                      </c:pt>
                      <c:pt idx="7">
                        <c:v>94.500767329691541</c:v>
                      </c:pt>
                      <c:pt idx="8">
                        <c:v>113.33870051453445</c:v>
                      </c:pt>
                      <c:pt idx="9">
                        <c:v>132.19619595806705</c:v>
                      </c:pt>
                      <c:pt idx="10">
                        <c:v>150.76927482237656</c:v>
                      </c:pt>
                      <c:pt idx="11">
                        <c:v>169.29265028679663</c:v>
                      </c:pt>
                      <c:pt idx="12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'engine run install'!$AD$84:$AD$95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-1.1079855595550305E-4</c:v>
                      </c:pt>
                      <c:pt idx="1">
                        <c:v>-1.1079855595550305E-4</c:v>
                      </c:pt>
                      <c:pt idx="2">
                        <c:v>-1.1079855595550305E-4</c:v>
                      </c:pt>
                      <c:pt idx="3">
                        <c:v>0.14420224789500649</c:v>
                      </c:pt>
                      <c:pt idx="4">
                        <c:v>0.25806043213028068</c:v>
                      </c:pt>
                      <c:pt idx="5">
                        <c:v>0.33441564593093381</c:v>
                      </c:pt>
                      <c:pt idx="6">
                        <c:v>0.40768833786733455</c:v>
                      </c:pt>
                      <c:pt idx="7">
                        <c:v>0.47075363822985272</c:v>
                      </c:pt>
                      <c:pt idx="8">
                        <c:v>0.53381893859237106</c:v>
                      </c:pt>
                      <c:pt idx="9">
                        <c:v>0.58691022004296034</c:v>
                      </c:pt>
                      <c:pt idx="10">
                        <c:v>0.63737601875673144</c:v>
                      </c:pt>
                      <c:pt idx="11">
                        <c:v>0.63737601875673144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773-4D35-844D-39FAA0466D0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high</c:v>
                </c:tx>
                <c:spPr>
                  <a:ln w="25400" cap="rnd">
                    <a:solidFill>
                      <a:srgbClr val="7030A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'engine run install'!$U$65:$U$77</c15:sqref>
                        </c15:formulaRef>
                      </c:ext>
                    </c:extLst>
                    <c:numCache>
                      <c:formatCode>0.0</c:formatCode>
                      <c:ptCount val="13"/>
                      <c:pt idx="0">
                        <c:v>2.3504750128635266</c:v>
                      </c:pt>
                      <c:pt idx="1">
                        <c:v>6.726038370907494</c:v>
                      </c:pt>
                      <c:pt idx="2">
                        <c:v>10.056491928980893</c:v>
                      </c:pt>
                      <c:pt idx="3">
                        <c:v>19.364669693800941</c:v>
                      </c:pt>
                      <c:pt idx="4">
                        <c:v>38.062866461572867</c:v>
                      </c:pt>
                      <c:pt idx="5">
                        <c:v>56.870184880187161</c:v>
                      </c:pt>
                      <c:pt idx="6">
                        <c:v>75.694170588429159</c:v>
                      </c:pt>
                      <c:pt idx="7">
                        <c:v>94.500767329691541</c:v>
                      </c:pt>
                      <c:pt idx="8">
                        <c:v>113.33870051453445</c:v>
                      </c:pt>
                      <c:pt idx="9">
                        <c:v>132.19619595806705</c:v>
                      </c:pt>
                      <c:pt idx="10">
                        <c:v>150.76927482237656</c:v>
                      </c:pt>
                      <c:pt idx="11">
                        <c:v>169.29265028679663</c:v>
                      </c:pt>
                      <c:pt idx="12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'engine run install'!$AA$100:$AA$111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-4.5264508012308753E-2</c:v>
                      </c:pt>
                      <c:pt idx="1">
                        <c:v>-4.5264508012308753E-2</c:v>
                      </c:pt>
                      <c:pt idx="2">
                        <c:v>-4.5264508012308753E-2</c:v>
                      </c:pt>
                      <c:pt idx="3">
                        <c:v>0.1040420694577176</c:v>
                      </c:pt>
                      <c:pt idx="4">
                        <c:v>0.22183998325130577</c:v>
                      </c:pt>
                      <c:pt idx="5">
                        <c:v>0.30083724597239669</c:v>
                      </c:pt>
                      <c:pt idx="6">
                        <c:v>0.37664532517303273</c:v>
                      </c:pt>
                      <c:pt idx="7">
                        <c:v>0.44189281585951351</c:v>
                      </c:pt>
                      <c:pt idx="8">
                        <c:v>0.5071403065459944</c:v>
                      </c:pt>
                      <c:pt idx="9">
                        <c:v>0.56206865655888794</c:v>
                      </c:pt>
                      <c:pt idx="10">
                        <c:v>0.61428067668144004</c:v>
                      </c:pt>
                      <c:pt idx="11">
                        <c:v>0.61428067668144004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773-4D35-844D-39FAA0466D0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high</c:v>
                </c:tx>
                <c:spPr>
                  <a:ln w="25400" cap="rnd">
                    <a:solidFill>
                      <a:srgbClr val="7030A0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'engine run install'!$U$65:$U$77</c15:sqref>
                        </c15:formulaRef>
                      </c:ext>
                    </c:extLst>
                    <c:numCache>
                      <c:formatCode>0.0</c:formatCode>
                      <c:ptCount val="13"/>
                      <c:pt idx="0">
                        <c:v>2.3504750128635266</c:v>
                      </c:pt>
                      <c:pt idx="1">
                        <c:v>6.726038370907494</c:v>
                      </c:pt>
                      <c:pt idx="2">
                        <c:v>10.056491928980893</c:v>
                      </c:pt>
                      <c:pt idx="3">
                        <c:v>19.364669693800941</c:v>
                      </c:pt>
                      <c:pt idx="4">
                        <c:v>38.062866461572867</c:v>
                      </c:pt>
                      <c:pt idx="5">
                        <c:v>56.870184880187161</c:v>
                      </c:pt>
                      <c:pt idx="6">
                        <c:v>75.694170588429159</c:v>
                      </c:pt>
                      <c:pt idx="7">
                        <c:v>94.500767329691541</c:v>
                      </c:pt>
                      <c:pt idx="8">
                        <c:v>113.33870051453445</c:v>
                      </c:pt>
                      <c:pt idx="9">
                        <c:v>132.19619595806705</c:v>
                      </c:pt>
                      <c:pt idx="10">
                        <c:v>150.76927482237656</c:v>
                      </c:pt>
                      <c:pt idx="11">
                        <c:v>169.29265028679663</c:v>
                      </c:pt>
                      <c:pt idx="12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'engine run install'!$AD$100:$AD$111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-1.1079855595550305E-4</c:v>
                      </c:pt>
                      <c:pt idx="1">
                        <c:v>-1.1079855595550305E-4</c:v>
                      </c:pt>
                      <c:pt idx="2">
                        <c:v>-1.1079855595550305E-4</c:v>
                      </c:pt>
                      <c:pt idx="3">
                        <c:v>0.19513626428946357</c:v>
                      </c:pt>
                      <c:pt idx="4">
                        <c:v>0.34917969001954052</c:v>
                      </c:pt>
                      <c:pt idx="5">
                        <c:v>0.45248380280865941</c:v>
                      </c:pt>
                      <c:pt idx="6">
                        <c:v>0.55161744484026032</c:v>
                      </c:pt>
                      <c:pt idx="7">
                        <c:v>0.63694108650719683</c:v>
                      </c:pt>
                      <c:pt idx="8">
                        <c:v>0.72226472817413334</c:v>
                      </c:pt>
                      <c:pt idx="9">
                        <c:v>0.79409410896022481</c:v>
                      </c:pt>
                      <c:pt idx="10">
                        <c:v>0.86237136604356224</c:v>
                      </c:pt>
                      <c:pt idx="11">
                        <c:v>0.86237136604356224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773-4D35-844D-39FAA0466D0E}"/>
                  </c:ext>
                </c:extLst>
              </c15:ser>
            </c15:filteredScatterSeries>
          </c:ext>
        </c:extLst>
      </c:scatterChart>
      <c:valAx>
        <c:axId val="930618303"/>
        <c:scaling>
          <c:orientation val="minMax"/>
          <c:max val="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Pedal</a:t>
                </a:r>
                <a:r>
                  <a:rPr lang="en-US" baseline="0"/>
                  <a:t> Force [lbf]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39935"/>
        <c:crosses val="autoZero"/>
        <c:crossBetween val="midCat"/>
        <c:majorUnit val="10"/>
      </c:valAx>
      <c:valAx>
        <c:axId val="93063993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N_x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1830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BMV transfer function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 in</c:v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'engine run install'!$B$65:$B$76</c:f>
              <c:numCache>
                <c:formatCode>0.000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6.1086523819801541E-3</c:v>
                </c:pt>
                <c:pt idx="3">
                  <c:v>1.2217304763960308E-2</c:v>
                </c:pt>
                <c:pt idx="4">
                  <c:v>2.4434609527920616E-2</c:v>
                </c:pt>
                <c:pt idx="5">
                  <c:v>3.6651914291880923E-2</c:v>
                </c:pt>
                <c:pt idx="6">
                  <c:v>4.8869219055841233E-2</c:v>
                </c:pt>
                <c:pt idx="7">
                  <c:v>6.1086523819801543E-2</c:v>
                </c:pt>
                <c:pt idx="8">
                  <c:v>7.3303828583761846E-2</c:v>
                </c:pt>
                <c:pt idx="9">
                  <c:v>8.5521133347722156E-2</c:v>
                </c:pt>
                <c:pt idx="10">
                  <c:v>9.7738438111682466E-2</c:v>
                </c:pt>
                <c:pt idx="11">
                  <c:v>0.10995574287564278</c:v>
                </c:pt>
              </c:numCache>
            </c:numRef>
          </c:xVal>
          <c:yVal>
            <c:numRef>
              <c:f>'engine run install'!$F$65:$F$76</c:f>
              <c:numCache>
                <c:formatCode>0</c:formatCode>
                <c:ptCount val="12"/>
                <c:pt idx="0">
                  <c:v>0</c:v>
                </c:pt>
                <c:pt idx="1">
                  <c:v>50</c:v>
                </c:pt>
                <c:pt idx="2">
                  <c:v>50.23880315016811</c:v>
                </c:pt>
                <c:pt idx="3">
                  <c:v>56.925291354875078</c:v>
                </c:pt>
                <c:pt idx="4">
                  <c:v>70.298267764289022</c:v>
                </c:pt>
                <c:pt idx="5">
                  <c:v>83.671244173702959</c:v>
                </c:pt>
                <c:pt idx="6">
                  <c:v>97.04422058311691</c:v>
                </c:pt>
                <c:pt idx="7">
                  <c:v>110.41719699253085</c:v>
                </c:pt>
                <c:pt idx="8">
                  <c:v>123.79017340194478</c:v>
                </c:pt>
                <c:pt idx="9">
                  <c:v>137.16314981135872</c:v>
                </c:pt>
                <c:pt idx="10">
                  <c:v>150.53612622077267</c:v>
                </c:pt>
                <c:pt idx="11">
                  <c:v>163.9091026301866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1-41EE-861B-628CE7FCBA7E}"/>
            </c:ext>
          </c:extLst>
        </c:ser>
        <c:ser>
          <c:idx val="1"/>
          <c:order val="1"/>
          <c:tx>
            <c:v>p out</c:v>
          </c:tx>
          <c:spPr>
            <a:ln w="25400" cap="rnd">
              <a:solidFill>
                <a:srgbClr val="00CCFF"/>
              </a:solidFill>
              <a:round/>
            </a:ln>
            <a:effectLst/>
          </c:spPr>
          <c:marker>
            <c:symbol val="none"/>
          </c:marker>
          <c:xVal>
            <c:numRef>
              <c:f>'engine run install'!$B$65:$B$76</c:f>
              <c:numCache>
                <c:formatCode>0.000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6.1086523819801541E-3</c:v>
                </c:pt>
                <c:pt idx="3">
                  <c:v>1.2217304763960308E-2</c:v>
                </c:pt>
                <c:pt idx="4">
                  <c:v>2.4434609527920616E-2</c:v>
                </c:pt>
                <c:pt idx="5">
                  <c:v>3.6651914291880923E-2</c:v>
                </c:pt>
                <c:pt idx="6">
                  <c:v>4.8869219055841233E-2</c:v>
                </c:pt>
                <c:pt idx="7">
                  <c:v>6.1086523819801543E-2</c:v>
                </c:pt>
                <c:pt idx="8">
                  <c:v>7.3303828583761846E-2</c:v>
                </c:pt>
                <c:pt idx="9">
                  <c:v>8.5521133347722156E-2</c:v>
                </c:pt>
                <c:pt idx="10">
                  <c:v>9.7738438111682466E-2</c:v>
                </c:pt>
                <c:pt idx="11">
                  <c:v>0.10995574287564278</c:v>
                </c:pt>
              </c:numCache>
            </c:numRef>
          </c:xVal>
          <c:yVal>
            <c:numRef>
              <c:f>'engine run install'!$I$65:$I$76</c:f>
              <c:numCache>
                <c:formatCode>0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86.037965533542618</c:v>
                </c:pt>
                <c:pt idx="4">
                  <c:v>178.64860548793277</c:v>
                </c:pt>
                <c:pt idx="5">
                  <c:v>271.25924544232299</c:v>
                </c:pt>
                <c:pt idx="6">
                  <c:v>363.86988539671313</c:v>
                </c:pt>
                <c:pt idx="7">
                  <c:v>456.48052535110344</c:v>
                </c:pt>
                <c:pt idx="8">
                  <c:v>549.09116530549352</c:v>
                </c:pt>
                <c:pt idx="9">
                  <c:v>641.7018052598836</c:v>
                </c:pt>
                <c:pt idx="10">
                  <c:v>734.31244521427379</c:v>
                </c:pt>
                <c:pt idx="11">
                  <c:v>826.9230851686641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D1-41EE-861B-628CE7FCB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805312"/>
        <c:axId val="352826528"/>
      </c:scatterChart>
      <c:valAx>
        <c:axId val="35280531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BMV Volume</a:t>
                </a:r>
                <a:r>
                  <a:rPr lang="en-US" baseline="0"/>
                  <a:t> [in^3]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26528"/>
        <c:crosses val="autoZero"/>
        <c:crossBetween val="midCat"/>
      </c:valAx>
      <c:valAx>
        <c:axId val="35282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</a:t>
                </a:r>
                <a:r>
                  <a:rPr lang="en-US" baseline="0"/>
                  <a:t> [psi]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0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'engine run install'!$I$83:$I$91</c:f>
              <c:numCache>
                <c:formatCode>0.000</c:formatCode>
                <c:ptCount val="9"/>
                <c:pt idx="0">
                  <c:v>0</c:v>
                </c:pt>
                <c:pt idx="1">
                  <c:v>92.610639954390223</c:v>
                </c:pt>
                <c:pt idx="2">
                  <c:v>185.22127990878036</c:v>
                </c:pt>
                <c:pt idx="3">
                  <c:v>277.8319198631707</c:v>
                </c:pt>
                <c:pt idx="4">
                  <c:v>370.44255981756078</c:v>
                </c:pt>
                <c:pt idx="5">
                  <c:v>463.05319977195086</c:v>
                </c:pt>
                <c:pt idx="6">
                  <c:v>555.66383972634105</c:v>
                </c:pt>
                <c:pt idx="7">
                  <c:v>648.27447968073136</c:v>
                </c:pt>
                <c:pt idx="8">
                  <c:v>648.27447968073136</c:v>
                </c:pt>
              </c:numCache>
            </c:numRef>
          </c:xVal>
          <c:yVal>
            <c:numRef>
              <c:f>'engine run install'!$J$83:$J$91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A5-4762-A878-FA9470AF38D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'engine run install'!$I$83:$I$91</c:f>
              <c:numCache>
                <c:formatCode>0.000</c:formatCode>
                <c:ptCount val="9"/>
                <c:pt idx="0">
                  <c:v>0</c:v>
                </c:pt>
                <c:pt idx="1">
                  <c:v>92.610639954390223</c:v>
                </c:pt>
                <c:pt idx="2">
                  <c:v>185.22127990878036</c:v>
                </c:pt>
                <c:pt idx="3">
                  <c:v>277.8319198631707</c:v>
                </c:pt>
                <c:pt idx="4">
                  <c:v>370.44255981756078</c:v>
                </c:pt>
                <c:pt idx="5">
                  <c:v>463.05319977195086</c:v>
                </c:pt>
                <c:pt idx="6">
                  <c:v>555.66383972634105</c:v>
                </c:pt>
                <c:pt idx="7">
                  <c:v>648.27447968073136</c:v>
                </c:pt>
                <c:pt idx="8">
                  <c:v>648.27447968073136</c:v>
                </c:pt>
              </c:numCache>
            </c:numRef>
          </c:xVal>
          <c:yVal>
            <c:numRef>
              <c:f>'engine run install'!$K$83:$K$91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A5-4762-A878-FA9470AF38DF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'engine run install'!$I$83:$I$91</c:f>
              <c:numCache>
                <c:formatCode>0.000</c:formatCode>
                <c:ptCount val="9"/>
                <c:pt idx="0">
                  <c:v>0</c:v>
                </c:pt>
                <c:pt idx="1">
                  <c:v>92.610639954390223</c:v>
                </c:pt>
                <c:pt idx="2">
                  <c:v>185.22127990878036</c:v>
                </c:pt>
                <c:pt idx="3">
                  <c:v>277.8319198631707</c:v>
                </c:pt>
                <c:pt idx="4">
                  <c:v>370.44255981756078</c:v>
                </c:pt>
                <c:pt idx="5">
                  <c:v>463.05319977195086</c:v>
                </c:pt>
                <c:pt idx="6">
                  <c:v>555.66383972634105</c:v>
                </c:pt>
                <c:pt idx="7">
                  <c:v>648.27447968073136</c:v>
                </c:pt>
                <c:pt idx="8">
                  <c:v>648.27447968073136</c:v>
                </c:pt>
              </c:numCache>
            </c:numRef>
          </c:xVal>
          <c:yVal>
            <c:numRef>
              <c:f>'engine run install'!$L$83:$L$91</c:f>
              <c:numCache>
                <c:formatCode>0.000</c:formatCode>
                <c:ptCount val="9"/>
                <c:pt idx="0">
                  <c:v>0</c:v>
                </c:pt>
                <c:pt idx="1">
                  <c:v>6.2222222222222207E-2</c:v>
                </c:pt>
                <c:pt idx="2">
                  <c:v>0.12444444444444444</c:v>
                </c:pt>
                <c:pt idx="3">
                  <c:v>0.18666666666666668</c:v>
                </c:pt>
                <c:pt idx="4">
                  <c:v>0.24888888888888891</c:v>
                </c:pt>
                <c:pt idx="5">
                  <c:v>0.31111111111111123</c:v>
                </c:pt>
                <c:pt idx="6">
                  <c:v>0.37333333333333341</c:v>
                </c:pt>
                <c:pt idx="7">
                  <c:v>0.43555555555555558</c:v>
                </c:pt>
                <c:pt idx="8">
                  <c:v>0.43555555555555558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A5-4762-A878-FA9470AF3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772736"/>
        <c:axId val="917749856"/>
      </c:scatterChart>
      <c:valAx>
        <c:axId val="91777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49856"/>
        <c:crosses val="autoZero"/>
        <c:crossBetween val="midCat"/>
      </c:valAx>
      <c:valAx>
        <c:axId val="9177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72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4/29 brake feel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6"/>
          <c:tx>
            <c:v>duff avg lh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'429 brake feel test'!$J$4:$J$7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'429 brake feel test'!$N$4:$N$7</c:f>
              <c:numCache>
                <c:formatCode>General</c:formatCode>
                <c:ptCount val="4"/>
                <c:pt idx="0">
                  <c:v>167.5</c:v>
                </c:pt>
                <c:pt idx="1">
                  <c:v>325</c:v>
                </c:pt>
                <c:pt idx="2">
                  <c:v>504</c:v>
                </c:pt>
                <c:pt idx="3">
                  <c:v>730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4E-425C-B61E-CB0C2DAB9C85}"/>
            </c:ext>
          </c:extLst>
        </c:ser>
        <c:ser>
          <c:idx val="7"/>
          <c:order val="7"/>
          <c:tx>
            <c:v>duff avg rh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'429 brake feel test'!$J$4:$J$7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'429 brake feel test'!$O$4:$O$7</c:f>
              <c:numCache>
                <c:formatCode>General</c:formatCode>
                <c:ptCount val="4"/>
                <c:pt idx="0">
                  <c:v>77.5</c:v>
                </c:pt>
                <c:pt idx="1">
                  <c:v>213</c:v>
                </c:pt>
                <c:pt idx="2">
                  <c:v>436</c:v>
                </c:pt>
                <c:pt idx="3">
                  <c:v>610.5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4E-425C-B61E-CB0C2DAB9C85}"/>
            </c:ext>
          </c:extLst>
        </c:ser>
        <c:ser>
          <c:idx val="8"/>
          <c:order val="8"/>
          <c:tx>
            <c:v>doc avg lh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'429 brake feel test'!$J$4:$J$7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'429 brake feel test'!$P$4:$P$7</c:f>
              <c:numCache>
                <c:formatCode>General</c:formatCode>
                <c:ptCount val="4"/>
                <c:pt idx="0">
                  <c:v>155</c:v>
                </c:pt>
                <c:pt idx="1">
                  <c:v>320</c:v>
                </c:pt>
                <c:pt idx="2">
                  <c:v>480.33333333333331</c:v>
                </c:pt>
                <c:pt idx="3">
                  <c:v>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4E-425C-B61E-CB0C2DAB9C85}"/>
            </c:ext>
          </c:extLst>
        </c:ser>
        <c:ser>
          <c:idx val="9"/>
          <c:order val="9"/>
          <c:tx>
            <c:v>doc avg rh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'429 brake feel test'!$J$4:$J$7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'429 brake feel test'!$Q$4:$Q$7</c:f>
              <c:numCache>
                <c:formatCode>General</c:formatCode>
                <c:ptCount val="4"/>
                <c:pt idx="0">
                  <c:v>59.333333333333336</c:v>
                </c:pt>
                <c:pt idx="1">
                  <c:v>204</c:v>
                </c:pt>
                <c:pt idx="2">
                  <c:v>360</c:v>
                </c:pt>
                <c:pt idx="3">
                  <c:v>513.5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4E-425C-B61E-CB0C2DAB9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946399"/>
        <c:axId val="7389422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tooch LH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'429 brake feel test'!$B$4:$B$15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'429 brake feel test'!$C$4:$C$15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110</c:v>
                      </c:pt>
                      <c:pt idx="3">
                        <c:v>223</c:v>
                      </c:pt>
                      <c:pt idx="4">
                        <c:v>265</c:v>
                      </c:pt>
                      <c:pt idx="6">
                        <c:v>359</c:v>
                      </c:pt>
                      <c:pt idx="7">
                        <c:v>436</c:v>
                      </c:pt>
                      <c:pt idx="9">
                        <c:v>620</c:v>
                      </c:pt>
                      <c:pt idx="10">
                        <c:v>600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EC4E-425C-B61E-CB0C2DAB9C8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tooch rh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test'!$D$4:$D$15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27</c:v>
                      </c:pt>
                      <c:pt idx="3">
                        <c:v>36</c:v>
                      </c:pt>
                      <c:pt idx="4">
                        <c:v>104</c:v>
                      </c:pt>
                      <c:pt idx="6">
                        <c:v>130</c:v>
                      </c:pt>
                      <c:pt idx="7">
                        <c:v>241</c:v>
                      </c:pt>
                      <c:pt idx="9">
                        <c:v>420</c:v>
                      </c:pt>
                      <c:pt idx="10">
                        <c:v>350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C4E-425C-B61E-CB0C2DAB9C8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duff lh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test'!$E$4:$E$15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115</c:v>
                      </c:pt>
                      <c:pt idx="1">
                        <c:v>220</c:v>
                      </c:pt>
                      <c:pt idx="3">
                        <c:v>322</c:v>
                      </c:pt>
                      <c:pt idx="4">
                        <c:v>328</c:v>
                      </c:pt>
                      <c:pt idx="6">
                        <c:v>502</c:v>
                      </c:pt>
                      <c:pt idx="7">
                        <c:v>506</c:v>
                      </c:pt>
                      <c:pt idx="9">
                        <c:v>730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C4E-425C-B61E-CB0C2DAB9C8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duff rh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test'!$F$4:$F$15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58</c:v>
                      </c:pt>
                      <c:pt idx="1">
                        <c:v>97</c:v>
                      </c:pt>
                      <c:pt idx="3">
                        <c:v>206</c:v>
                      </c:pt>
                      <c:pt idx="4">
                        <c:v>220</c:v>
                      </c:pt>
                      <c:pt idx="6">
                        <c:v>422</c:v>
                      </c:pt>
                      <c:pt idx="7">
                        <c:v>450</c:v>
                      </c:pt>
                      <c:pt idx="9">
                        <c:v>591</c:v>
                      </c:pt>
                      <c:pt idx="10">
                        <c:v>630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C4E-425C-B61E-CB0C2DAB9C8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doc lh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1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test'!$G$4:$G$15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120</c:v>
                      </c:pt>
                      <c:pt idx="1">
                        <c:v>175</c:v>
                      </c:pt>
                      <c:pt idx="2">
                        <c:v>170</c:v>
                      </c:pt>
                      <c:pt idx="3">
                        <c:v>250</c:v>
                      </c:pt>
                      <c:pt idx="4">
                        <c:v>360</c:v>
                      </c:pt>
                      <c:pt idx="5">
                        <c:v>350</c:v>
                      </c:pt>
                      <c:pt idx="6">
                        <c:v>480</c:v>
                      </c:pt>
                      <c:pt idx="7">
                        <c:v>481</c:v>
                      </c:pt>
                      <c:pt idx="8">
                        <c:v>480</c:v>
                      </c:pt>
                      <c:pt idx="9">
                        <c:v>640</c:v>
                      </c:pt>
                      <c:pt idx="10">
                        <c:v>650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C4E-425C-B61E-CB0C2DAB9C8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doc rh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test'!$H$4:$H$15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58</c:v>
                      </c:pt>
                      <c:pt idx="1">
                        <c:v>60</c:v>
                      </c:pt>
                      <c:pt idx="2">
                        <c:v>60</c:v>
                      </c:pt>
                      <c:pt idx="3">
                        <c:v>162</c:v>
                      </c:pt>
                      <c:pt idx="4">
                        <c:v>220</c:v>
                      </c:pt>
                      <c:pt idx="5">
                        <c:v>230</c:v>
                      </c:pt>
                      <c:pt idx="6">
                        <c:v>360</c:v>
                      </c:pt>
                      <c:pt idx="7">
                        <c:v>360</c:v>
                      </c:pt>
                      <c:pt idx="8">
                        <c:v>360</c:v>
                      </c:pt>
                      <c:pt idx="9">
                        <c:v>515</c:v>
                      </c:pt>
                      <c:pt idx="10">
                        <c:v>512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C4E-425C-B61E-CB0C2DAB9C85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tooch avg lh</c:v>
                </c:tx>
                <c:spPr>
                  <a:ln w="19050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test'!$J$4:$J$8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test'!$K$4:$K$8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110</c:v>
                      </c:pt>
                      <c:pt idx="1">
                        <c:v>244</c:v>
                      </c:pt>
                      <c:pt idx="2">
                        <c:v>397.5</c:v>
                      </c:pt>
                      <c:pt idx="3">
                        <c:v>610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C4E-425C-B61E-CB0C2DAB9C85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tooch avg RH</c:v>
                </c:tx>
                <c:spPr>
                  <a:ln w="19050" cap="rnd">
                    <a:solidFill>
                      <a:schemeClr val="accent2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test'!$J$4:$J$7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test'!$L$4:$L$7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27</c:v>
                      </c:pt>
                      <c:pt idx="1">
                        <c:v>70</c:v>
                      </c:pt>
                      <c:pt idx="2">
                        <c:v>185.5</c:v>
                      </c:pt>
                      <c:pt idx="3">
                        <c:v>385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C4E-425C-B61E-CB0C2DAB9C85}"/>
                  </c:ext>
                </c:extLst>
              </c15:ser>
            </c15:filteredScatterSeries>
          </c:ext>
        </c:extLst>
      </c:scatterChart>
      <c:valAx>
        <c:axId val="73894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Force application effort level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42239"/>
        <c:crosses val="autoZero"/>
        <c:crossBetween val="midCat"/>
        <c:majorUnit val="1"/>
      </c:valAx>
      <c:valAx>
        <c:axId val="73894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[psi]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46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4/29 brake feel test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LH, 17000 lbm, 0 keas,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'429 brake feel test'!$J$4:$J$7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'429 brake feel test'!$W$4:$W$7</c:f>
              <c:numCache>
                <c:formatCode>0.00</c:formatCode>
                <c:ptCount val="4"/>
                <c:pt idx="0">
                  <c:v>6.0176014910373464E-2</c:v>
                </c:pt>
                <c:pt idx="1">
                  <c:v>0.22500772584587095</c:v>
                </c:pt>
                <c:pt idx="2">
                  <c:v>0.34347635230031504</c:v>
                </c:pt>
                <c:pt idx="3">
                  <c:v>0.45870784696443051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84-4CCE-8F93-C6EA263265D4}"/>
            </c:ext>
          </c:extLst>
        </c:ser>
        <c:ser>
          <c:idx val="2"/>
          <c:order val="2"/>
          <c:tx>
            <c:v>LH, 13000 lbm, 0 keas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'429 brake feel test'!$J$4:$J$7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'429 brake feel test'!$Y$4:$Y$7</c:f>
              <c:numCache>
                <c:formatCode>0.00</c:formatCode>
                <c:ptCount val="4"/>
                <c:pt idx="0">
                  <c:v>8.3569478977081058E-2</c:v>
                </c:pt>
                <c:pt idx="1">
                  <c:v>0.29911863943119321</c:v>
                </c:pt>
                <c:pt idx="2">
                  <c:v>0.45403915094854319</c:v>
                </c:pt>
                <c:pt idx="3">
                  <c:v>0.60472649012469415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84-4CCE-8F93-C6EA263265D4}"/>
            </c:ext>
          </c:extLst>
        </c:ser>
        <c:ser>
          <c:idx val="4"/>
          <c:order val="4"/>
          <c:tx>
            <c:v>light</c:v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0.124</c:v>
              </c:pt>
              <c:pt idx="1">
                <c:v>0.124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8A84-4CCE-8F93-C6EA263265D4}"/>
            </c:ext>
          </c:extLst>
        </c:ser>
        <c:ser>
          <c:idx val="5"/>
          <c:order val="5"/>
          <c:tx>
            <c:v>moderate</c:v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0.248</c:v>
              </c:pt>
              <c:pt idx="1">
                <c:v>0.248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8A84-4CCE-8F93-C6EA263265D4}"/>
            </c:ext>
          </c:extLst>
        </c:ser>
        <c:ser>
          <c:idx val="6"/>
          <c:order val="6"/>
          <c:tx>
            <c:v>heavy</c:v>
          </c:tx>
          <c:spPr>
            <a:ln w="19050" cap="rnd">
              <a:solidFill>
                <a:srgbClr val="F8C0BA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97D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A84-4CCE-8F93-C6EA263265D4}"/>
              </c:ext>
            </c:extLst>
          </c:dPt>
          <c:xVal>
            <c:numLit>
              <c:formatCode>General</c:formatCode>
              <c:ptCount val="2"/>
              <c:pt idx="0">
                <c:v>0</c:v>
              </c:pt>
              <c:pt idx="1">
                <c:v>5</c:v>
              </c:pt>
            </c:numLit>
          </c:xVal>
          <c:yVal>
            <c:numLit>
              <c:formatCode>General</c:formatCode>
              <c:ptCount val="2"/>
              <c:pt idx="0">
                <c:v>0.373</c:v>
              </c:pt>
              <c:pt idx="1">
                <c:v>0.373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8A84-4CCE-8F93-C6EA26326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664367"/>
        <c:axId val="124167060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RH, 17000 lbm, 0 keas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'429 brake feel test'!$J$4:$J$7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'429 brake feel test'!$X$4:$X$7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-4.5264508012308753E-2</c:v>
                      </c:pt>
                      <c:pt idx="1">
                        <c:v>0.11758474610843496</c:v>
                      </c:pt>
                      <c:pt idx="2">
                        <c:v>0.27998728645605447</c:v>
                      </c:pt>
                      <c:pt idx="3">
                        <c:v>0.38625901996671591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8A84-4CCE-8F93-C6EA263265D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RH, 13000 lbm, 0 keas</c:v>
                </c:tx>
                <c:spPr>
                  <a:ln w="19050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'429 brake feel test'!$J$4:$J$7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'429 brake feel test'!$Z$4:$Z$7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-5.4314281767964871E-2</c:v>
                      </c:pt>
                      <c:pt idx="1">
                        <c:v>0.15864243515916154</c:v>
                      </c:pt>
                      <c:pt idx="2">
                        <c:v>0.37101498792143317</c:v>
                      </c:pt>
                      <c:pt idx="3">
                        <c:v>0.50998571635845202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8A84-4CCE-8F93-C6EA263265D4}"/>
                  </c:ext>
                </c:extLst>
              </c15:ser>
            </c15:filteredScatterSeries>
          </c:ext>
        </c:extLst>
      </c:scatterChart>
      <c:valAx>
        <c:axId val="124166436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application effort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70607"/>
        <c:crosses val="autoZero"/>
        <c:crossBetween val="midCat"/>
        <c:majorUnit val="1"/>
      </c:valAx>
      <c:valAx>
        <c:axId val="12416706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Predeicted</a:t>
                </a:r>
                <a:r>
                  <a:rPr lang="en-US" baseline="0"/>
                  <a:t> N_x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64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4/29 brake feel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2"/>
          <c:order val="12"/>
          <c:tx>
            <c:v>lh avg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'429 brake feel test'!$J$4:$J$7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'429 brake feel test'!$R$4:$R$7</c:f>
              <c:numCache>
                <c:formatCode>General</c:formatCode>
                <c:ptCount val="4"/>
                <c:pt idx="0">
                  <c:v>161.25</c:v>
                </c:pt>
                <c:pt idx="1">
                  <c:v>322.5</c:v>
                </c:pt>
                <c:pt idx="2">
                  <c:v>492.16666666666663</c:v>
                </c:pt>
                <c:pt idx="3">
                  <c:v>687.5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ABA-4B7E-B033-048EA9FC1ACD}"/>
            </c:ext>
          </c:extLst>
        </c:ser>
        <c:ser>
          <c:idx val="13"/>
          <c:order val="13"/>
          <c:tx>
            <c:v>rh avg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'429 brake feel test'!$J$4:$J$7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'429 brake feel test'!$S$4:$S$7</c:f>
              <c:numCache>
                <c:formatCode>General</c:formatCode>
                <c:ptCount val="4"/>
                <c:pt idx="0">
                  <c:v>68.416666666666671</c:v>
                </c:pt>
                <c:pt idx="1">
                  <c:v>208.5</c:v>
                </c:pt>
                <c:pt idx="2">
                  <c:v>398</c:v>
                </c:pt>
                <c:pt idx="3">
                  <c:v>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ABA-4B7E-B033-048EA9FC1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946399"/>
        <c:axId val="7389422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tooch LH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'429 brake feel test'!$B$4:$B$15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'429 brake feel test'!$C$4:$C$15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110</c:v>
                      </c:pt>
                      <c:pt idx="3">
                        <c:v>223</c:v>
                      </c:pt>
                      <c:pt idx="4">
                        <c:v>265</c:v>
                      </c:pt>
                      <c:pt idx="6">
                        <c:v>359</c:v>
                      </c:pt>
                      <c:pt idx="7">
                        <c:v>436</c:v>
                      </c:pt>
                      <c:pt idx="9">
                        <c:v>620</c:v>
                      </c:pt>
                      <c:pt idx="10">
                        <c:v>600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1ABA-4B7E-B033-048EA9FC1AC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tooch rh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test'!$D$4:$D$15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27</c:v>
                      </c:pt>
                      <c:pt idx="3">
                        <c:v>36</c:v>
                      </c:pt>
                      <c:pt idx="4">
                        <c:v>104</c:v>
                      </c:pt>
                      <c:pt idx="6">
                        <c:v>130</c:v>
                      </c:pt>
                      <c:pt idx="7">
                        <c:v>241</c:v>
                      </c:pt>
                      <c:pt idx="9">
                        <c:v>420</c:v>
                      </c:pt>
                      <c:pt idx="10">
                        <c:v>350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ABA-4B7E-B033-048EA9FC1AC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duff lh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test'!$E$4:$E$15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115</c:v>
                      </c:pt>
                      <c:pt idx="1">
                        <c:v>220</c:v>
                      </c:pt>
                      <c:pt idx="3">
                        <c:v>322</c:v>
                      </c:pt>
                      <c:pt idx="4">
                        <c:v>328</c:v>
                      </c:pt>
                      <c:pt idx="6">
                        <c:v>502</c:v>
                      </c:pt>
                      <c:pt idx="7">
                        <c:v>506</c:v>
                      </c:pt>
                      <c:pt idx="9">
                        <c:v>730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ABA-4B7E-B033-048EA9FC1AC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duff rh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5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test'!$F$4:$F$15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58</c:v>
                      </c:pt>
                      <c:pt idx="1">
                        <c:v>97</c:v>
                      </c:pt>
                      <c:pt idx="3">
                        <c:v>206</c:v>
                      </c:pt>
                      <c:pt idx="4">
                        <c:v>220</c:v>
                      </c:pt>
                      <c:pt idx="6">
                        <c:v>422</c:v>
                      </c:pt>
                      <c:pt idx="7">
                        <c:v>450</c:v>
                      </c:pt>
                      <c:pt idx="9">
                        <c:v>591</c:v>
                      </c:pt>
                      <c:pt idx="10">
                        <c:v>630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ABA-4B7E-B033-048EA9FC1AC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doc lh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1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test'!$G$4:$G$15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120</c:v>
                      </c:pt>
                      <c:pt idx="1">
                        <c:v>175</c:v>
                      </c:pt>
                      <c:pt idx="2">
                        <c:v>170</c:v>
                      </c:pt>
                      <c:pt idx="3">
                        <c:v>250</c:v>
                      </c:pt>
                      <c:pt idx="4">
                        <c:v>360</c:v>
                      </c:pt>
                      <c:pt idx="5">
                        <c:v>350</c:v>
                      </c:pt>
                      <c:pt idx="6">
                        <c:v>480</c:v>
                      </c:pt>
                      <c:pt idx="7">
                        <c:v>481</c:v>
                      </c:pt>
                      <c:pt idx="8">
                        <c:v>480</c:v>
                      </c:pt>
                      <c:pt idx="9">
                        <c:v>640</c:v>
                      </c:pt>
                      <c:pt idx="10">
                        <c:v>650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ABA-4B7E-B033-048EA9FC1AC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doc rh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5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test'!$B$4:$B$15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test'!$H$4:$H$15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58</c:v>
                      </c:pt>
                      <c:pt idx="1">
                        <c:v>60</c:v>
                      </c:pt>
                      <c:pt idx="2">
                        <c:v>60</c:v>
                      </c:pt>
                      <c:pt idx="3">
                        <c:v>162</c:v>
                      </c:pt>
                      <c:pt idx="4">
                        <c:v>220</c:v>
                      </c:pt>
                      <c:pt idx="5">
                        <c:v>230</c:v>
                      </c:pt>
                      <c:pt idx="6">
                        <c:v>360</c:v>
                      </c:pt>
                      <c:pt idx="7">
                        <c:v>360</c:v>
                      </c:pt>
                      <c:pt idx="8">
                        <c:v>360</c:v>
                      </c:pt>
                      <c:pt idx="9">
                        <c:v>515</c:v>
                      </c:pt>
                      <c:pt idx="10">
                        <c:v>512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ABA-4B7E-B033-048EA9FC1AC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duff avg lh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'429 brake feel test'!$J$4:$J$7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'429 brake feel test'!$N$4:$N$7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167.5</c:v>
                      </c:pt>
                      <c:pt idx="1">
                        <c:v>325</c:v>
                      </c:pt>
                      <c:pt idx="2">
                        <c:v>504</c:v>
                      </c:pt>
                      <c:pt idx="3">
                        <c:v>730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ABA-4B7E-B033-048EA9FC1AC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duff avg rh</c:v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'429 brake feel test'!$J$4:$J$7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'429 brake feel test'!$O$4:$O$7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77.5</c:v>
                      </c:pt>
                      <c:pt idx="1">
                        <c:v>213</c:v>
                      </c:pt>
                      <c:pt idx="2">
                        <c:v>436</c:v>
                      </c:pt>
                      <c:pt idx="3">
                        <c:v>610.5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1ABA-4B7E-B033-048EA9FC1AC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doc avg lh</c:v>
                </c:tx>
                <c:spPr>
                  <a:ln w="19050" cap="rnd">
                    <a:solidFill>
                      <a:schemeClr val="accent1"/>
                    </a:solidFill>
                    <a:prstDash val="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'429 brake feel test'!$J$4:$J$7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'429 brake feel test'!$P$4:$P$7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155</c:v>
                      </c:pt>
                      <c:pt idx="1">
                        <c:v>320</c:v>
                      </c:pt>
                      <c:pt idx="2">
                        <c:v>480.33333333333331</c:v>
                      </c:pt>
                      <c:pt idx="3">
                        <c:v>645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ABA-4B7E-B033-048EA9FC1AC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doc avg rh</c:v>
                </c:tx>
                <c:spPr>
                  <a:ln w="19050" cap="rnd">
                    <a:solidFill>
                      <a:schemeClr val="accent2"/>
                    </a:solidFill>
                    <a:prstDash val="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'429 brake feel test'!$J$4:$J$7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'429 brake feel test'!$Q$4:$Q$7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59.333333333333336</c:v>
                      </c:pt>
                      <c:pt idx="1">
                        <c:v>204</c:v>
                      </c:pt>
                      <c:pt idx="2">
                        <c:v>360</c:v>
                      </c:pt>
                      <c:pt idx="3">
                        <c:v>513.5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1ABA-4B7E-B033-048EA9FC1ACD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tooch avg lh</c:v>
                </c:tx>
                <c:spPr>
                  <a:ln w="19050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test'!$J$4:$J$8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test'!$K$4:$K$8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110</c:v>
                      </c:pt>
                      <c:pt idx="1">
                        <c:v>244</c:v>
                      </c:pt>
                      <c:pt idx="2">
                        <c:v>397.5</c:v>
                      </c:pt>
                      <c:pt idx="3">
                        <c:v>610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ABA-4B7E-B033-048EA9FC1ACD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tooch avg RH</c:v>
                </c:tx>
                <c:spPr>
                  <a:ln w="19050" cap="rnd">
                    <a:solidFill>
                      <a:schemeClr val="accent2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test'!$J$4:$J$7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'429 brake feel test'!$L$4:$L$7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27</c:v>
                      </c:pt>
                      <c:pt idx="1">
                        <c:v>70</c:v>
                      </c:pt>
                      <c:pt idx="2">
                        <c:v>185.5</c:v>
                      </c:pt>
                      <c:pt idx="3">
                        <c:v>385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ABA-4B7E-B033-048EA9FC1ACD}"/>
                  </c:ext>
                </c:extLst>
              </c15:ser>
            </c15:filteredScatterSeries>
          </c:ext>
        </c:extLst>
      </c:scatterChart>
      <c:valAx>
        <c:axId val="73894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Force application effort level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42239"/>
        <c:crosses val="autoZero"/>
        <c:crossBetween val="midCat"/>
        <c:majorUnit val="1"/>
      </c:valAx>
      <c:valAx>
        <c:axId val="73894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[psi]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46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35980</xdr:colOff>
      <xdr:row>1</xdr:row>
      <xdr:rowOff>48154</xdr:rowOff>
    </xdr:from>
    <xdr:to>
      <xdr:col>12</xdr:col>
      <xdr:colOff>719666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AAB387-14EC-4E11-8E59-19FD7B79F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56590</xdr:colOff>
      <xdr:row>0</xdr:row>
      <xdr:rowOff>0</xdr:rowOff>
    </xdr:from>
    <xdr:to>
      <xdr:col>25</xdr:col>
      <xdr:colOff>347382</xdr:colOff>
      <xdr:row>36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88686-8498-454C-818F-521FA9FC6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722496</xdr:colOff>
      <xdr:row>0</xdr:row>
      <xdr:rowOff>0</xdr:rowOff>
    </xdr:from>
    <xdr:to>
      <xdr:col>18</xdr:col>
      <xdr:colOff>414617</xdr:colOff>
      <xdr:row>17</xdr:row>
      <xdr:rowOff>123264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CC06F4-46D3-4E06-8A42-60E65DEE1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272977</xdr:colOff>
      <xdr:row>6</xdr:row>
      <xdr:rowOff>88667</xdr:rowOff>
    </xdr:from>
    <xdr:to>
      <xdr:col>38</xdr:col>
      <xdr:colOff>190217</xdr:colOff>
      <xdr:row>32</xdr:row>
      <xdr:rowOff>145817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C9CDC2F4-5D2E-4361-B12D-8E25111694E3}"/>
            </a:ext>
          </a:extLst>
        </xdr:cNvPr>
        <xdr:cNvGrpSpPr/>
      </xdr:nvGrpSpPr>
      <xdr:grpSpPr>
        <a:xfrm>
          <a:off x="24432859" y="1231667"/>
          <a:ext cx="1732593" cy="5010150"/>
          <a:chOff x="9381261" y="3686175"/>
          <a:chExt cx="1734414" cy="4057650"/>
        </a:xfrm>
      </xdr:grpSpPr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018B4437-EFDA-4022-AE12-E98DF7604C91}"/>
              </a:ext>
            </a:extLst>
          </xdr:cNvPr>
          <xdr:cNvGrpSpPr/>
        </xdr:nvGrpSpPr>
        <xdr:grpSpPr>
          <a:xfrm>
            <a:off x="9381261" y="3686175"/>
            <a:ext cx="1734414" cy="4057650"/>
            <a:chOff x="9381261" y="3686175"/>
            <a:chExt cx="1734414" cy="4057650"/>
          </a:xfrm>
        </xdr:grpSpPr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AFAE3E10-2A25-46FB-9EB1-3B524ADE6E6E}"/>
                </a:ext>
              </a:extLst>
            </xdr:cNvPr>
            <xdr:cNvGrpSpPr/>
          </xdr:nvGrpSpPr>
          <xdr:grpSpPr>
            <a:xfrm>
              <a:off x="9381261" y="3686175"/>
              <a:ext cx="1734414" cy="4057650"/>
              <a:chOff x="9381261" y="3686175"/>
              <a:chExt cx="1734414" cy="4057650"/>
            </a:xfrm>
          </xdr:grpSpPr>
          <xdr:pic>
            <xdr:nvPicPr>
              <xdr:cNvPr id="20" name="Picture 19">
                <a:extLst>
                  <a:ext uri="{FF2B5EF4-FFF2-40B4-BE49-F238E27FC236}">
                    <a16:creationId xmlns:a16="http://schemas.microsoft.com/office/drawing/2014/main" id="{E54EA870-C67F-446E-93CD-08725479835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9381261" y="3686175"/>
                <a:ext cx="1734414" cy="4057650"/>
              </a:xfrm>
              <a:prstGeom prst="rect">
                <a:avLst/>
              </a:prstGeom>
              <a:ln w="28575">
                <a:noFill/>
              </a:ln>
            </xdr:spPr>
          </xdr:pic>
          <xdr:cxnSp macro="">
            <xdr:nvCxnSpPr>
              <xdr:cNvPr id="31" name="Straight Connector 30">
                <a:extLst>
                  <a:ext uri="{FF2B5EF4-FFF2-40B4-BE49-F238E27FC236}">
                    <a16:creationId xmlns:a16="http://schemas.microsoft.com/office/drawing/2014/main" id="{7B5193E9-E633-4F08-87B5-376218C9F945}"/>
                  </a:ext>
                </a:extLst>
              </xdr:cNvPr>
              <xdr:cNvCxnSpPr/>
            </xdr:nvCxnSpPr>
            <xdr:spPr>
              <a:xfrm>
                <a:off x="10282239" y="4324350"/>
                <a:ext cx="9524" cy="3019425"/>
              </a:xfrm>
              <a:prstGeom prst="line">
                <a:avLst/>
              </a:prstGeom>
              <a:ln w="28575">
                <a:solidFill>
                  <a:schemeClr val="accent4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2" name="Straight Connector 31">
                <a:extLst>
                  <a:ext uri="{FF2B5EF4-FFF2-40B4-BE49-F238E27FC236}">
                    <a16:creationId xmlns:a16="http://schemas.microsoft.com/office/drawing/2014/main" id="{F081D415-C4B9-4D6E-B19E-9658AB80348C}"/>
                  </a:ext>
                </a:extLst>
              </xdr:cNvPr>
              <xdr:cNvCxnSpPr/>
            </xdr:nvCxnSpPr>
            <xdr:spPr>
              <a:xfrm flipH="1" flipV="1">
                <a:off x="10301288" y="7343775"/>
                <a:ext cx="569119" cy="171450"/>
              </a:xfrm>
              <a:prstGeom prst="line">
                <a:avLst/>
              </a:prstGeom>
              <a:ln w="28575">
                <a:solidFill>
                  <a:schemeClr val="accent4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5" name="Straight Connector 34">
                <a:extLst>
                  <a:ext uri="{FF2B5EF4-FFF2-40B4-BE49-F238E27FC236}">
                    <a16:creationId xmlns:a16="http://schemas.microsoft.com/office/drawing/2014/main" id="{3B4A0C72-D948-4E5D-8448-FEA3ACC7E8A1}"/>
                  </a:ext>
                </a:extLst>
              </xdr:cNvPr>
              <xdr:cNvCxnSpPr/>
            </xdr:nvCxnSpPr>
            <xdr:spPr>
              <a:xfrm flipH="1" flipV="1">
                <a:off x="10282238" y="7362825"/>
                <a:ext cx="569119" cy="171450"/>
              </a:xfrm>
              <a:prstGeom prst="line">
                <a:avLst/>
              </a:prstGeom>
              <a:ln w="28575">
                <a:solidFill>
                  <a:schemeClr val="accent2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6" name="Straight Connector 35">
                <a:extLst>
                  <a:ext uri="{FF2B5EF4-FFF2-40B4-BE49-F238E27FC236}">
                    <a16:creationId xmlns:a16="http://schemas.microsoft.com/office/drawing/2014/main" id="{E8D4BABC-559F-4893-A88E-E22784674236}"/>
                  </a:ext>
                </a:extLst>
              </xdr:cNvPr>
              <xdr:cNvCxnSpPr/>
            </xdr:nvCxnSpPr>
            <xdr:spPr>
              <a:xfrm flipH="1">
                <a:off x="10329863" y="7315200"/>
                <a:ext cx="550068" cy="9525"/>
              </a:xfrm>
              <a:prstGeom prst="line">
                <a:avLst/>
              </a:prstGeom>
              <a:ln w="28575">
                <a:solidFill>
                  <a:schemeClr val="accent2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1" name="Straight Connector 40">
                <a:extLst>
                  <a:ext uri="{FF2B5EF4-FFF2-40B4-BE49-F238E27FC236}">
                    <a16:creationId xmlns:a16="http://schemas.microsoft.com/office/drawing/2014/main" id="{26FD36DE-AE41-4AE0-B879-B2936C3374E5}"/>
                  </a:ext>
                </a:extLst>
              </xdr:cNvPr>
              <xdr:cNvCxnSpPr/>
            </xdr:nvCxnSpPr>
            <xdr:spPr>
              <a:xfrm flipH="1">
                <a:off x="10860882" y="4305300"/>
                <a:ext cx="28574" cy="3181350"/>
              </a:xfrm>
              <a:prstGeom prst="line">
                <a:avLst/>
              </a:prstGeom>
              <a:ln w="28575">
                <a:solidFill>
                  <a:srgbClr val="00B0F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22" name="Straight Connector 21">
              <a:extLst>
                <a:ext uri="{FF2B5EF4-FFF2-40B4-BE49-F238E27FC236}">
                  <a16:creationId xmlns:a16="http://schemas.microsoft.com/office/drawing/2014/main" id="{E22A138D-B76A-4894-B483-8A0295DC8770}"/>
                </a:ext>
              </a:extLst>
            </xdr:cNvPr>
            <xdr:cNvCxnSpPr/>
          </xdr:nvCxnSpPr>
          <xdr:spPr>
            <a:xfrm flipH="1">
              <a:off x="10310813" y="4324350"/>
              <a:ext cx="559593" cy="302895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EDBD0C6A-0436-4E0F-8F8A-9B52F2288866}"/>
                </a:ext>
              </a:extLst>
            </xdr:cNvPr>
            <xdr:cNvCxnSpPr/>
          </xdr:nvCxnSpPr>
          <xdr:spPr>
            <a:xfrm>
              <a:off x="10310814" y="4324350"/>
              <a:ext cx="9524" cy="3019425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FA11B30-B8D8-4B26-9E6E-C138326832F5}"/>
                </a:ext>
              </a:extLst>
            </xdr:cNvPr>
            <xdr:cNvCxnSpPr/>
          </xdr:nvCxnSpPr>
          <xdr:spPr>
            <a:xfrm flipH="1">
              <a:off x="10320338" y="4371975"/>
              <a:ext cx="569119" cy="2990850"/>
            </a:xfrm>
            <a:prstGeom prst="line">
              <a:avLst/>
            </a:prstGeom>
            <a:ln w="28575">
              <a:solidFill>
                <a:schemeClr val="accent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5BDEF529-C520-4933-B893-1AFA4EBC9E62}"/>
              </a:ext>
            </a:extLst>
          </xdr:cNvPr>
          <xdr:cNvCxnSpPr/>
        </xdr:nvCxnSpPr>
        <xdr:spPr>
          <a:xfrm flipH="1" flipV="1">
            <a:off x="10329863" y="7324725"/>
            <a:ext cx="511968" cy="142875"/>
          </a:xfrm>
          <a:prstGeom prst="line">
            <a:avLst/>
          </a:prstGeom>
          <a:ln w="28575">
            <a:solidFill>
              <a:schemeClr val="accent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9B4DE9F9-9AF9-449C-B4AD-618491F12685}"/>
              </a:ext>
            </a:extLst>
          </xdr:cNvPr>
          <xdr:cNvCxnSpPr/>
        </xdr:nvCxnSpPr>
        <xdr:spPr>
          <a:xfrm flipH="1" flipV="1">
            <a:off x="10282238" y="7391400"/>
            <a:ext cx="569119" cy="171450"/>
          </a:xfrm>
          <a:prstGeom prst="line">
            <a:avLst/>
          </a:prstGeom>
          <a:ln w="28575">
            <a:solidFill>
              <a:srgbClr val="00B0F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425823</xdr:colOff>
      <xdr:row>0</xdr:row>
      <xdr:rowOff>49545</xdr:rowOff>
    </xdr:from>
    <xdr:to>
      <xdr:col>34</xdr:col>
      <xdr:colOff>190499</xdr:colOff>
      <xdr:row>19</xdr:row>
      <xdr:rowOff>123265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105C229-F322-496F-89BD-6BAC6C0E6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221455</xdr:colOff>
      <xdr:row>21</xdr:row>
      <xdr:rowOff>100011</xdr:rowOff>
    </xdr:from>
    <xdr:to>
      <xdr:col>4</xdr:col>
      <xdr:colOff>1012029</xdr:colOff>
      <xdr:row>39</xdr:row>
      <xdr:rowOff>83342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DFED9D-8B29-4C19-82A0-C4B788890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535779</xdr:colOff>
      <xdr:row>1</xdr:row>
      <xdr:rowOff>95250</xdr:rowOff>
    </xdr:from>
    <xdr:to>
      <xdr:col>12</xdr:col>
      <xdr:colOff>116528</xdr:colOff>
      <xdr:row>19</xdr:row>
      <xdr:rowOff>119062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F823D31-4955-4C90-BE4B-6059AB3BC366}"/>
            </a:ext>
          </a:extLst>
        </xdr:cNvPr>
        <xdr:cNvGrpSpPr/>
      </xdr:nvGrpSpPr>
      <xdr:grpSpPr>
        <a:xfrm>
          <a:off x="9175514" y="285750"/>
          <a:ext cx="6752514" cy="3452812"/>
          <a:chOff x="9251155" y="250031"/>
          <a:chExt cx="6748311" cy="36433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13D03663-657B-4E56-86BF-4618272C1A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251155" y="250031"/>
            <a:ext cx="6748311" cy="3071812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8944D56E-1F49-49D8-B185-FF930EED10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322593" y="3286124"/>
            <a:ext cx="6607975" cy="607219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101202</xdr:colOff>
      <xdr:row>21</xdr:row>
      <xdr:rowOff>98820</xdr:rowOff>
    </xdr:from>
    <xdr:to>
      <xdr:col>11</xdr:col>
      <xdr:colOff>35718</xdr:colOff>
      <xdr:row>39</xdr:row>
      <xdr:rowOff>71436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5B030-BD0F-47C0-B497-040C2F62B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393005</xdr:colOff>
      <xdr:row>28</xdr:row>
      <xdr:rowOff>30416</xdr:rowOff>
    </xdr:from>
    <xdr:to>
      <xdr:col>14</xdr:col>
      <xdr:colOff>508266</xdr:colOff>
      <xdr:row>52</xdr:row>
      <xdr:rowOff>84845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A3EFED1F-9C7C-4328-AAD0-0CF6DB2F3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609920</xdr:colOff>
      <xdr:row>26</xdr:row>
      <xdr:rowOff>168890</xdr:rowOff>
    </xdr:from>
    <xdr:to>
      <xdr:col>27</xdr:col>
      <xdr:colOff>245730</xdr:colOff>
      <xdr:row>51</xdr:row>
      <xdr:rowOff>73639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3BC440-60C5-4717-9EA6-A8914FBD2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23210</xdr:colOff>
      <xdr:row>27</xdr:row>
      <xdr:rowOff>138472</xdr:rowOff>
    </xdr:from>
    <xdr:to>
      <xdr:col>37</xdr:col>
      <xdr:colOff>383401</xdr:colOff>
      <xdr:row>52</xdr:row>
      <xdr:rowOff>16008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197D6D-7428-41F5-BF2F-6E03697DB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578303</xdr:colOff>
      <xdr:row>82</xdr:row>
      <xdr:rowOff>36739</xdr:rowOff>
    </xdr:from>
    <xdr:to>
      <xdr:col>19</xdr:col>
      <xdr:colOff>673553</xdr:colOff>
      <xdr:row>96</xdr:row>
      <xdr:rowOff>140153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9E330-F59E-1C23-7021-52553DF76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14</xdr:row>
      <xdr:rowOff>28575</xdr:rowOff>
    </xdr:from>
    <xdr:to>
      <xdr:col>15</xdr:col>
      <xdr:colOff>76200</xdr:colOff>
      <xdr:row>37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944B78-5D53-4D69-9509-A89B90E13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400049</xdr:colOff>
      <xdr:row>14</xdr:row>
      <xdr:rowOff>23811</xdr:rowOff>
    </xdr:from>
    <xdr:to>
      <xdr:col>29</xdr:col>
      <xdr:colOff>495299</xdr:colOff>
      <xdr:row>37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66733E-5B01-44F5-A7C6-58895298E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85725</xdr:colOff>
      <xdr:row>40</xdr:row>
      <xdr:rowOff>19050</xdr:rowOff>
    </xdr:from>
    <xdr:to>
      <xdr:col>16</xdr:col>
      <xdr:colOff>152400</xdr:colOff>
      <xdr:row>63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5D97A2-7C18-4C40-A7A7-801BE49AD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ayton.fellman/Downloads/42%20lb-in%20Spring%20Test%20Data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ddins/AeroPak%20v78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omAndTestNotes"/>
      <sheetName val="Low Spring Test 1"/>
      <sheetName val="Low Spring Test 2"/>
    </sheetNames>
    <sheetDataSet>
      <sheetData sheetId="0">
        <row r="3">
          <cell r="B3">
            <v>0.24850488763747386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deg2rad"/>
      <definedName name="linear_intp_2col"/>
    </defined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layton Fellman" id="{F45D043F-7487-4C13-B591-801FE851B6D3}" userId="S::Clayton.Fellman@boom.aero::034af346-3832-4064-b033-5d53322e0eb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1-08-19T21:14:42.60" personId="{F45D043F-7487-4C13-B591-801FE851B6D3}" id="{B1B3EADD-82A4-4B68-8FE0-53F70D4435C1}">
    <text>was 90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0B8zPwIX4T1-7dnd1ZkFHMzZETWM/view?usp=sharing" TargetMode="External"/><Relationship Id="rId3" Type="http://schemas.openxmlformats.org/officeDocument/2006/relationships/hyperlink" Target="https://docs.google.com/presentation/d/1Bx5pIZU_pAi0xxzF4Gi5W7KcdGdTbpXc5YP-h_iQKks/edit" TargetMode="External"/><Relationship Id="rId7" Type="http://schemas.openxmlformats.org/officeDocument/2006/relationships/hyperlink" Target="https://drive.google.com/file/d/0B8zPwIX4T1-7dnd1ZkFHMzZETWM/view?usp=sharing" TargetMode="External"/><Relationship Id="rId12" Type="http://schemas.openxmlformats.org/officeDocument/2006/relationships/drawing" Target="../drawings/drawing3.xml"/><Relationship Id="rId2" Type="http://schemas.openxmlformats.org/officeDocument/2006/relationships/hyperlink" Target="https://docs.google.com/presentation/d/1Bx5pIZU_pAi0xxzF4Gi5W7KcdGdTbpXc5YP-h_iQKks/edit" TargetMode="External"/><Relationship Id="rId1" Type="http://schemas.openxmlformats.org/officeDocument/2006/relationships/hyperlink" Target="https://docs.google.com/presentation/d/1Bx5pIZU_pAi0xxzF4Gi5W7KcdGdTbpXc5YP-h_iQKks/edit" TargetMode="External"/><Relationship Id="rId6" Type="http://schemas.openxmlformats.org/officeDocument/2006/relationships/hyperlink" Target="https://drive.google.com/file/d/0B8zPwIX4T1-7dnd1ZkFHMzZETWM/view?usp=sharing" TargetMode="External"/><Relationship Id="rId11" Type="http://schemas.openxmlformats.org/officeDocument/2006/relationships/hyperlink" Target="https://drive.google.com/file/d/0B8zPwIX4T1-7dnd1ZkFHMzZETWM/view?usp=sharing" TargetMode="External"/><Relationship Id="rId5" Type="http://schemas.openxmlformats.org/officeDocument/2006/relationships/hyperlink" Target="https://docs.google.com/presentation/d/1Bx5pIZU_pAi0xxzF4Gi5W7KcdGdTbpXc5YP-h_iQKks/edit" TargetMode="External"/><Relationship Id="rId10" Type="http://schemas.openxmlformats.org/officeDocument/2006/relationships/hyperlink" Target="https://drive.google.com/file/d/0B8zPwIX4T1-7dnd1ZkFHMzZETWM/view?usp=sharing" TargetMode="External"/><Relationship Id="rId4" Type="http://schemas.openxmlformats.org/officeDocument/2006/relationships/hyperlink" Target="https://docs.google.com/presentation/d/1Bx5pIZU_pAi0xxzF4Gi5W7KcdGdTbpXc5YP-h_iQKks/edit" TargetMode="External"/><Relationship Id="rId9" Type="http://schemas.openxmlformats.org/officeDocument/2006/relationships/hyperlink" Target="https://drive.google.com/file/d/0B8zPwIX4T1-7dnd1ZkFHMzZETWM/view?usp=shari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cs.google.com/document/d/1UgiLTzG7Xui1GMjvKtpLUpmeln9fWl5DM-vkmCAs8p4/edit" TargetMode="External"/><Relationship Id="rId1" Type="http://schemas.openxmlformats.org/officeDocument/2006/relationships/hyperlink" Target="https://docs.google.com/document/d/1UgiLTzG7Xui1GMjvKtpLUpmeln9fWl5DM-vkmCAs8p4/edit" TargetMode="External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EAA2-80F1-4265-9C1A-273386DD0E68}">
  <dimension ref="A1:C17"/>
  <sheetViews>
    <sheetView zoomScaleNormal="100" workbookViewId="0">
      <selection activeCell="A38" sqref="A38"/>
    </sheetView>
  </sheetViews>
  <sheetFormatPr defaultRowHeight="15" x14ac:dyDescent="0.25"/>
  <cols>
    <col min="1" max="1" width="25.28515625" bestFit="1" customWidth="1"/>
    <col min="2" max="2" width="15.7109375" bestFit="1" customWidth="1"/>
    <col min="3" max="3" width="45" bestFit="1" customWidth="1"/>
  </cols>
  <sheetData>
    <row r="1" spans="1:3" x14ac:dyDescent="0.25">
      <c r="A1" s="7" t="s">
        <v>195</v>
      </c>
    </row>
    <row r="2" spans="1:3" x14ac:dyDescent="0.25">
      <c r="A2" s="92" t="s">
        <v>181</v>
      </c>
    </row>
    <row r="6" spans="1:3" x14ac:dyDescent="0.25">
      <c r="A6" t="s">
        <v>196</v>
      </c>
      <c r="B6" t="s">
        <v>183</v>
      </c>
      <c r="C6" t="s">
        <v>184</v>
      </c>
    </row>
    <row r="8" spans="1:3" x14ac:dyDescent="0.25">
      <c r="B8" t="s">
        <v>185</v>
      </c>
      <c r="C8" t="s">
        <v>186</v>
      </c>
    </row>
    <row r="9" spans="1:3" x14ac:dyDescent="0.25">
      <c r="C9" t="s">
        <v>187</v>
      </c>
    </row>
    <row r="10" spans="1:3" x14ac:dyDescent="0.25">
      <c r="C10" t="s">
        <v>188</v>
      </c>
    </row>
    <row r="12" spans="1:3" x14ac:dyDescent="0.25">
      <c r="B12" t="s">
        <v>189</v>
      </c>
      <c r="C12" t="s">
        <v>190</v>
      </c>
    </row>
    <row r="14" spans="1:3" x14ac:dyDescent="0.25">
      <c r="B14" t="s">
        <v>191</v>
      </c>
      <c r="C14" t="s">
        <v>192</v>
      </c>
    </row>
    <row r="15" spans="1:3" x14ac:dyDescent="0.25">
      <c r="C15" t="s">
        <v>193</v>
      </c>
    </row>
    <row r="16" spans="1:3" x14ac:dyDescent="0.25">
      <c r="C16" t="s">
        <v>120</v>
      </c>
    </row>
    <row r="17" spans="3:3" x14ac:dyDescent="0.25">
      <c r="C1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E9F9-8C96-46F4-B7C2-60C67F7204FA}">
  <dimension ref="A1:DG36"/>
  <sheetViews>
    <sheetView zoomScaleNormal="100" workbookViewId="0">
      <selection activeCell="Q29" sqref="Q29"/>
    </sheetView>
  </sheetViews>
  <sheetFormatPr defaultColWidth="13.140625" defaultRowHeight="15" x14ac:dyDescent="0.25"/>
  <cols>
    <col min="1" max="1" width="15.42578125" style="17" bestFit="1" customWidth="1"/>
    <col min="2" max="2" width="7.85546875" style="17" bestFit="1" customWidth="1"/>
    <col min="3" max="3" width="20" style="89" bestFit="1" customWidth="1"/>
    <col min="4" max="4" width="18.5703125" style="89" bestFit="1" customWidth="1"/>
    <col min="5" max="16384" width="13.140625" style="17"/>
  </cols>
  <sheetData>
    <row r="1" spans="1:111" x14ac:dyDescent="0.25">
      <c r="A1" s="121" t="s">
        <v>101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</row>
    <row r="3" spans="1:111" s="89" customFormat="1" x14ac:dyDescent="0.25">
      <c r="A3" s="89" t="s">
        <v>154</v>
      </c>
      <c r="B3" s="14">
        <v>0.15</v>
      </c>
      <c r="C3" s="5" t="s">
        <v>153</v>
      </c>
      <c r="D3" s="5"/>
    </row>
    <row r="5" spans="1:111" ht="31.5" x14ac:dyDescent="0.25">
      <c r="A5" s="56" t="s">
        <v>90</v>
      </c>
      <c r="B5" s="56" t="s">
        <v>89</v>
      </c>
      <c r="C5" s="56" t="s">
        <v>179</v>
      </c>
      <c r="D5" s="56" t="s">
        <v>180</v>
      </c>
    </row>
    <row r="6" spans="1:111" ht="16.5" thickBot="1" x14ac:dyDescent="0.3">
      <c r="A6" s="55" t="s">
        <v>30</v>
      </c>
      <c r="B6" s="55" t="s">
        <v>88</v>
      </c>
      <c r="C6" s="55" t="s">
        <v>88</v>
      </c>
      <c r="D6" s="55" t="s">
        <v>88</v>
      </c>
    </row>
    <row r="7" spans="1:111" ht="15.75" x14ac:dyDescent="0.25">
      <c r="A7" s="54">
        <v>110</v>
      </c>
      <c r="B7" s="54">
        <v>0</v>
      </c>
      <c r="C7" s="54">
        <f>B7*(1-B$3)</f>
        <v>0</v>
      </c>
      <c r="D7" s="54">
        <f>B7*(1+B$3)</f>
        <v>0</v>
      </c>
    </row>
    <row r="8" spans="1:111" ht="15.75" x14ac:dyDescent="0.25">
      <c r="A8" s="54">
        <v>208</v>
      </c>
      <c r="B8" s="54">
        <v>1431</v>
      </c>
      <c r="C8" s="54">
        <f t="shared" ref="C8:C16" si="0">B8*(1-B$3)</f>
        <v>1216.3499999999999</v>
      </c>
      <c r="D8" s="54">
        <f t="shared" ref="D8:D16" si="1">B8*(1+B$3)</f>
        <v>1645.6499999999999</v>
      </c>
    </row>
    <row r="9" spans="1:111" ht="15.75" x14ac:dyDescent="0.25">
      <c r="A9" s="54">
        <v>435</v>
      </c>
      <c r="B9" s="54">
        <v>2731</v>
      </c>
      <c r="C9" s="54">
        <f t="shared" si="0"/>
        <v>2321.35</v>
      </c>
      <c r="D9" s="54">
        <f t="shared" si="1"/>
        <v>3140.6499999999996</v>
      </c>
    </row>
    <row r="10" spans="1:111" ht="15.75" x14ac:dyDescent="0.25">
      <c r="A10" s="54">
        <v>661</v>
      </c>
      <c r="B10" s="54">
        <v>3800</v>
      </c>
      <c r="C10" s="54">
        <f t="shared" si="0"/>
        <v>3230</v>
      </c>
      <c r="D10" s="54">
        <f t="shared" si="1"/>
        <v>4370</v>
      </c>
    </row>
    <row r="11" spans="1:111" ht="15.75" x14ac:dyDescent="0.25">
      <c r="A11" s="54">
        <v>889</v>
      </c>
      <c r="B11" s="54">
        <v>4663</v>
      </c>
      <c r="C11" s="54">
        <f>B11*(1-B$3)</f>
        <v>3963.5499999999997</v>
      </c>
      <c r="D11" s="54">
        <f t="shared" si="1"/>
        <v>5362.45</v>
      </c>
    </row>
    <row r="12" spans="1:111" ht="15.75" x14ac:dyDescent="0.25">
      <c r="A12" s="54">
        <v>1118</v>
      </c>
      <c r="B12" s="54">
        <v>5369</v>
      </c>
      <c r="C12" s="54">
        <f t="shared" si="0"/>
        <v>4563.6499999999996</v>
      </c>
      <c r="D12" s="54">
        <f t="shared" si="1"/>
        <v>6174.3499999999995</v>
      </c>
    </row>
    <row r="13" spans="1:111" ht="15.75" x14ac:dyDescent="0.25">
      <c r="A13" s="54">
        <v>1346</v>
      </c>
      <c r="B13" s="54">
        <v>5993</v>
      </c>
      <c r="C13" s="54">
        <f t="shared" si="0"/>
        <v>5094.05</v>
      </c>
      <c r="D13" s="54">
        <f t="shared" si="1"/>
        <v>6891.95</v>
      </c>
    </row>
    <row r="14" spans="1:111" ht="15.75" x14ac:dyDescent="0.25">
      <c r="A14" s="54">
        <v>1573</v>
      </c>
      <c r="B14" s="54">
        <v>6567</v>
      </c>
      <c r="C14" s="54">
        <f t="shared" si="0"/>
        <v>5581.95</v>
      </c>
      <c r="D14" s="54">
        <f t="shared" si="1"/>
        <v>7552.0499999999993</v>
      </c>
    </row>
    <row r="15" spans="1:111" s="18" customFormat="1" ht="15.75" x14ac:dyDescent="0.25">
      <c r="A15" s="54">
        <v>1805</v>
      </c>
      <c r="B15" s="54">
        <v>7134</v>
      </c>
      <c r="C15" s="54">
        <f t="shared" si="0"/>
        <v>6063.9</v>
      </c>
      <c r="D15" s="54">
        <f t="shared" si="1"/>
        <v>8204.0999999999985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</row>
    <row r="16" spans="1:111" s="18" customFormat="1" ht="15.75" x14ac:dyDescent="0.25">
      <c r="A16" s="54">
        <v>2035</v>
      </c>
      <c r="B16" s="54">
        <v>7741</v>
      </c>
      <c r="C16" s="54">
        <f t="shared" si="0"/>
        <v>6579.8499999999995</v>
      </c>
      <c r="D16" s="54">
        <f t="shared" si="1"/>
        <v>8902.15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</row>
    <row r="17" spans="1:111" s="18" customFormat="1" x14ac:dyDescent="0.25">
      <c r="A17" s="17"/>
      <c r="B17" s="17"/>
      <c r="C17" s="89"/>
      <c r="D17" s="89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</row>
    <row r="18" spans="1:111" s="62" customFormat="1" x14ac:dyDescent="0.25">
      <c r="A18" s="17"/>
      <c r="B18" s="17"/>
      <c r="C18" s="89"/>
      <c r="D18" s="8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</row>
    <row r="19" spans="1:111" s="18" customFormat="1" x14ac:dyDescent="0.25">
      <c r="A19" s="17"/>
      <c r="B19" s="17"/>
      <c r="C19" s="89"/>
      <c r="D19" s="89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</row>
    <row r="20" spans="1:111" s="18" customFormat="1" x14ac:dyDescent="0.25">
      <c r="A20" s="17"/>
      <c r="B20" s="17"/>
      <c r="C20" s="89"/>
      <c r="D20" s="89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</row>
    <row r="21" spans="1:111" s="18" customFormat="1" x14ac:dyDescent="0.25">
      <c r="A21" s="17"/>
      <c r="B21" s="17"/>
      <c r="C21" s="89"/>
      <c r="D21" s="8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</row>
    <row r="22" spans="1:111" s="18" customFormat="1" x14ac:dyDescent="0.25">
      <c r="A22" s="17"/>
      <c r="B22" s="17"/>
      <c r="C22" s="89"/>
      <c r="D22" s="89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</row>
    <row r="23" spans="1:111" s="18" customFormat="1" x14ac:dyDescent="0.25">
      <c r="A23" s="17"/>
      <c r="B23" s="17"/>
      <c r="C23" s="89"/>
      <c r="D23" s="89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</row>
    <row r="24" spans="1:111" s="18" customFormat="1" x14ac:dyDescent="0.25">
      <c r="A24" s="17"/>
      <c r="B24" s="17"/>
      <c r="C24" s="89"/>
      <c r="D24" s="89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</row>
    <row r="25" spans="1:111" s="18" customFormat="1" x14ac:dyDescent="0.25">
      <c r="A25" s="17"/>
      <c r="B25" s="17"/>
      <c r="C25" s="89"/>
      <c r="D25" s="89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</row>
    <row r="26" spans="1:111" s="18" customFormat="1" x14ac:dyDescent="0.25">
      <c r="A26" s="17"/>
      <c r="B26" s="17"/>
      <c r="C26" s="89"/>
      <c r="D26" s="89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</row>
    <row r="27" spans="1:111" s="18" customFormat="1" x14ac:dyDescent="0.25">
      <c r="A27" s="17"/>
      <c r="B27" s="17"/>
      <c r="C27" s="89"/>
      <c r="D27" s="89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</row>
    <row r="28" spans="1:111" s="18" customFormat="1" x14ac:dyDescent="0.25">
      <c r="A28" s="17"/>
      <c r="B28" s="17"/>
      <c r="C28" s="89"/>
      <c r="D28" s="89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</row>
    <row r="29" spans="1:111" s="18" customFormat="1" x14ac:dyDescent="0.25">
      <c r="A29" s="17"/>
      <c r="B29" s="17"/>
      <c r="C29" s="89"/>
      <c r="D29" s="89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</row>
    <row r="30" spans="1:111" s="18" customFormat="1" x14ac:dyDescent="0.25">
      <c r="A30" s="17"/>
      <c r="B30" s="17"/>
      <c r="C30" s="89"/>
      <c r="D30" s="89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</row>
    <row r="31" spans="1:111" s="18" customFormat="1" x14ac:dyDescent="0.25">
      <c r="A31" s="17"/>
      <c r="B31" s="17"/>
      <c r="C31" s="89"/>
      <c r="D31" s="89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</row>
    <row r="32" spans="1:111" s="18" customFormat="1" x14ac:dyDescent="0.25">
      <c r="A32" s="17"/>
      <c r="B32" s="17"/>
      <c r="C32" s="89"/>
      <c r="D32" s="89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</row>
    <row r="33" spans="1:111" s="18" customFormat="1" x14ac:dyDescent="0.25">
      <c r="A33" s="17"/>
      <c r="B33" s="17"/>
      <c r="C33" s="89"/>
      <c r="D33" s="89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</row>
    <row r="34" spans="1:111" s="18" customFormat="1" x14ac:dyDescent="0.25">
      <c r="A34" s="17"/>
      <c r="B34" s="17"/>
      <c r="C34" s="89"/>
      <c r="D34" s="89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</row>
    <row r="35" spans="1:111" s="18" customFormat="1" x14ac:dyDescent="0.25">
      <c r="A35" s="17"/>
      <c r="B35" s="17"/>
      <c r="C35" s="89"/>
      <c r="D35" s="89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</row>
    <row r="36" spans="1:111" s="18" customFormat="1" x14ac:dyDescent="0.25">
      <c r="A36" s="17"/>
      <c r="B36" s="17"/>
      <c r="C36" s="89"/>
      <c r="D36" s="89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</row>
  </sheetData>
  <mergeCells count="1">
    <mergeCell ref="A1:N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953C-CD30-467D-9C6D-202B6268EF2D}">
  <dimension ref="A1:O62"/>
  <sheetViews>
    <sheetView zoomScale="85" zoomScaleNormal="85" workbookViewId="0">
      <selection activeCell="B8" sqref="B8"/>
    </sheetView>
  </sheetViews>
  <sheetFormatPr defaultRowHeight="15" x14ac:dyDescent="0.25"/>
  <cols>
    <col min="1" max="1" width="20.28515625" bestFit="1" customWidth="1"/>
    <col min="2" max="2" width="12.7109375" bestFit="1" customWidth="1"/>
    <col min="3" max="3" width="5" bestFit="1" customWidth="1"/>
    <col min="4" max="4" width="16" customWidth="1"/>
    <col min="5" max="5" width="10.28515625" style="60" bestFit="1" customWidth="1"/>
    <col min="6" max="6" width="17" bestFit="1" customWidth="1"/>
    <col min="7" max="9" width="5.7109375" bestFit="1" customWidth="1"/>
    <col min="10" max="10" width="9.85546875" bestFit="1" customWidth="1"/>
    <col min="11" max="11" width="17.5703125" bestFit="1" customWidth="1"/>
    <col min="12" max="12" width="6.42578125" bestFit="1" customWidth="1"/>
    <col min="13" max="13" width="21.42578125" bestFit="1" customWidth="1"/>
    <col min="14" max="14" width="11.7109375" bestFit="1" customWidth="1"/>
    <col min="15" max="15" width="15.140625" bestFit="1" customWidth="1"/>
  </cols>
  <sheetData>
    <row r="1" spans="1:6" s="121" customFormat="1" x14ac:dyDescent="0.25">
      <c r="A1" s="121" t="s">
        <v>160</v>
      </c>
    </row>
    <row r="2" spans="1:6" s="89" customFormat="1" x14ac:dyDescent="0.25"/>
    <row r="3" spans="1:6" s="60" customFormat="1" x14ac:dyDescent="0.25">
      <c r="A3" t="s">
        <v>131</v>
      </c>
      <c r="B3">
        <v>11.5</v>
      </c>
      <c r="C3" t="s">
        <v>1</v>
      </c>
    </row>
    <row r="4" spans="1:6" x14ac:dyDescent="0.25">
      <c r="A4" t="s">
        <v>140</v>
      </c>
      <c r="B4">
        <v>1.4</v>
      </c>
      <c r="C4" t="s">
        <v>1</v>
      </c>
    </row>
    <row r="5" spans="1:6" s="60" customFormat="1" x14ac:dyDescent="0.25">
      <c r="A5" s="60" t="s">
        <v>143</v>
      </c>
      <c r="B5" s="5">
        <v>0.11</v>
      </c>
      <c r="C5" s="60" t="s">
        <v>6</v>
      </c>
    </row>
    <row r="6" spans="1:6" s="60" customFormat="1" x14ac:dyDescent="0.25">
      <c r="A6" s="60" t="s">
        <v>145</v>
      </c>
      <c r="B6" s="60">
        <v>3.0000000000000001E-3</v>
      </c>
      <c r="C6" s="60" t="s">
        <v>6</v>
      </c>
      <c r="D6" s="60" t="s">
        <v>159</v>
      </c>
    </row>
    <row r="7" spans="1:6" s="60" customFormat="1" x14ac:dyDescent="0.25">
      <c r="A7" s="60" t="s">
        <v>144</v>
      </c>
      <c r="B7" s="92">
        <v>8.5000000000000006E-2</v>
      </c>
      <c r="C7" s="60" t="s">
        <v>1</v>
      </c>
      <c r="D7" s="60" t="s">
        <v>155</v>
      </c>
    </row>
    <row r="9" spans="1:6" x14ac:dyDescent="0.25">
      <c r="B9" t="s">
        <v>134</v>
      </c>
      <c r="C9" t="s">
        <v>135</v>
      </c>
    </row>
    <row r="10" spans="1:6" x14ac:dyDescent="0.25">
      <c r="A10" t="s">
        <v>128</v>
      </c>
      <c r="B10" s="33">
        <v>0</v>
      </c>
      <c r="C10" s="33">
        <v>0</v>
      </c>
    </row>
    <row r="11" spans="1:6" x14ac:dyDescent="0.25">
      <c r="A11" t="s">
        <v>129</v>
      </c>
      <c r="B11" s="33">
        <v>0</v>
      </c>
      <c r="C11" s="33">
        <v>11</v>
      </c>
    </row>
    <row r="14" spans="1:6" x14ac:dyDescent="0.25">
      <c r="A14" t="s">
        <v>132</v>
      </c>
      <c r="B14" s="6">
        <f>SQRT((B20^2)+(C20^2))</f>
        <v>11.180339887498949</v>
      </c>
    </row>
    <row r="15" spans="1:6" x14ac:dyDescent="0.25">
      <c r="A15" s="60" t="s">
        <v>133</v>
      </c>
      <c r="B15" s="93">
        <v>2</v>
      </c>
      <c r="C15" s="60"/>
      <c r="D15" s="60"/>
      <c r="F15" s="60"/>
    </row>
    <row r="16" spans="1:6" x14ac:dyDescent="0.25">
      <c r="A16" s="9" t="s">
        <v>136</v>
      </c>
      <c r="B16" s="6">
        <f>ATAN(B20/C20)</f>
        <v>0.17985349979247828</v>
      </c>
      <c r="D16" s="82"/>
      <c r="F16" s="60"/>
    </row>
    <row r="17" spans="1:15" s="60" customFormat="1" x14ac:dyDescent="0.25">
      <c r="A17" s="73" t="s">
        <v>137</v>
      </c>
      <c r="B17" s="6">
        <f>ACOS(((-(B3^2))+(B14^2)+(B15^2))/(2*B15*B14))</f>
        <v>1.6435326552482796</v>
      </c>
      <c r="D17" s="82"/>
      <c r="F17"/>
    </row>
    <row r="18" spans="1:15" s="60" customFormat="1" x14ac:dyDescent="0.25">
      <c r="A18" s="75" t="s">
        <v>138</v>
      </c>
      <c r="B18" s="6">
        <f>B17+B16</f>
        <v>1.823386155040758</v>
      </c>
      <c r="D18" s="82"/>
    </row>
    <row r="19" spans="1:15" s="60" customFormat="1" x14ac:dyDescent="0.25">
      <c r="A19" s="76" t="s">
        <v>141</v>
      </c>
      <c r="B19" s="6">
        <f>B18-(PI()/2)</f>
        <v>0.2525898282458614</v>
      </c>
      <c r="D19" s="82"/>
      <c r="F19"/>
    </row>
    <row r="20" spans="1:15" x14ac:dyDescent="0.25">
      <c r="A20" t="s">
        <v>130</v>
      </c>
      <c r="B20" s="93">
        <v>2</v>
      </c>
      <c r="C20" s="7">
        <v>11</v>
      </c>
      <c r="J20" t="s">
        <v>201</v>
      </c>
    </row>
    <row r="21" spans="1:15" s="60" customFormat="1" x14ac:dyDescent="0.25">
      <c r="B21" s="74"/>
      <c r="C21" s="33"/>
      <c r="F21" s="60" t="s">
        <v>120</v>
      </c>
      <c r="G21" s="6">
        <f>5/8</f>
        <v>0.625</v>
      </c>
      <c r="H21" s="6">
        <f>9/16</f>
        <v>0.5625</v>
      </c>
      <c r="I21" s="6">
        <v>0.5</v>
      </c>
      <c r="J21" s="6">
        <f>I21</f>
        <v>0.5</v>
      </c>
      <c r="K21" s="60" t="s">
        <v>53</v>
      </c>
    </row>
    <row r="22" spans="1:15" s="60" customFormat="1" x14ac:dyDescent="0.25">
      <c r="B22" s="74"/>
      <c r="C22" s="33"/>
      <c r="F22" s="60" t="s">
        <v>121</v>
      </c>
      <c r="G22" s="6">
        <f>PI()*(G21/2)^2</f>
        <v>0.30679615757712825</v>
      </c>
      <c r="H22" s="6">
        <f t="shared" ref="H22:I22" si="0">PI()*(H21/2)^2</f>
        <v>0.24850488763747386</v>
      </c>
      <c r="I22" s="6">
        <f t="shared" si="0"/>
        <v>0.19634954084936207</v>
      </c>
      <c r="J22" s="6">
        <f t="shared" ref="J22:J24" si="1">I22</f>
        <v>0.19634954084936207</v>
      </c>
      <c r="K22" s="60" t="s">
        <v>2</v>
      </c>
    </row>
    <row r="23" spans="1:15" s="60" customFormat="1" x14ac:dyDescent="0.25">
      <c r="B23" s="74"/>
      <c r="C23" s="33"/>
      <c r="F23" s="60" t="s">
        <v>148</v>
      </c>
      <c r="G23" s="5">
        <f>G22*$B7</f>
        <v>2.6077673394055902E-2</v>
      </c>
      <c r="H23" s="5">
        <f>H22*$B7</f>
        <v>2.1122915449185278E-2</v>
      </c>
      <c r="I23" s="5">
        <f>I22*$B7</f>
        <v>1.6689710972195779E-2</v>
      </c>
      <c r="J23" s="6">
        <f t="shared" si="1"/>
        <v>1.6689710972195779E-2</v>
      </c>
      <c r="K23" s="60" t="s">
        <v>6</v>
      </c>
    </row>
    <row r="24" spans="1:15" s="89" customFormat="1" x14ac:dyDescent="0.25">
      <c r="B24" s="74"/>
      <c r="C24" s="33"/>
      <c r="F24" s="60" t="s">
        <v>149</v>
      </c>
      <c r="G24" s="5">
        <f>G23+$B6</f>
        <v>2.9077673394055901E-2</v>
      </c>
      <c r="H24" s="5">
        <f>H23+$B6</f>
        <v>2.4122915449185277E-2</v>
      </c>
      <c r="I24" s="5">
        <f>I23+$B6</f>
        <v>1.9689710972195778E-2</v>
      </c>
      <c r="J24" s="6">
        <f t="shared" si="1"/>
        <v>1.9689710972195778E-2</v>
      </c>
      <c r="K24" s="60" t="s">
        <v>6</v>
      </c>
    </row>
    <row r="25" spans="1:15" s="60" customFormat="1" x14ac:dyDescent="0.25">
      <c r="B25" s="74"/>
      <c r="C25" s="33"/>
      <c r="J25" s="6"/>
    </row>
    <row r="26" spans="1:15" s="60" customFormat="1" x14ac:dyDescent="0.25">
      <c r="B26" s="33"/>
      <c r="C26" s="122" t="s">
        <v>157</v>
      </c>
      <c r="D26" s="122"/>
      <c r="J26" s="6"/>
    </row>
    <row r="27" spans="1:15" s="111" customFormat="1" x14ac:dyDescent="0.25">
      <c r="A27" s="108" t="s">
        <v>115</v>
      </c>
      <c r="B27" s="109" t="s">
        <v>156</v>
      </c>
      <c r="C27" s="109" t="s">
        <v>134</v>
      </c>
      <c r="D27" s="108" t="s">
        <v>135</v>
      </c>
      <c r="E27" s="108" t="s">
        <v>56</v>
      </c>
      <c r="F27" s="108" t="s">
        <v>122</v>
      </c>
      <c r="G27" s="123" t="s">
        <v>142</v>
      </c>
      <c r="H27" s="123"/>
      <c r="I27" s="123"/>
      <c r="J27" s="123"/>
      <c r="K27" s="110" t="s">
        <v>200</v>
      </c>
      <c r="L27" s="110" t="s">
        <v>139</v>
      </c>
      <c r="M27" s="108" t="s">
        <v>146</v>
      </c>
      <c r="N27" s="108" t="s">
        <v>178</v>
      </c>
      <c r="O27" s="108" t="s">
        <v>158</v>
      </c>
    </row>
    <row r="28" spans="1:15" x14ac:dyDescent="0.25">
      <c r="A28" s="10" t="s">
        <v>95</v>
      </c>
      <c r="B28" s="83" t="s">
        <v>0</v>
      </c>
      <c r="C28" s="83" t="s">
        <v>1</v>
      </c>
      <c r="D28" s="10" t="s">
        <v>1</v>
      </c>
      <c r="E28" s="10"/>
      <c r="F28" s="10" t="s">
        <v>1</v>
      </c>
      <c r="G28" s="10" t="s">
        <v>6</v>
      </c>
      <c r="H28" s="10" t="s">
        <v>6</v>
      </c>
      <c r="I28" s="10" t="s">
        <v>6</v>
      </c>
      <c r="J28" s="50" t="str">
        <f t="shared" ref="J28" si="2">I28</f>
        <v>in^3</v>
      </c>
      <c r="K28" s="10" t="s">
        <v>0</v>
      </c>
      <c r="L28" s="10" t="s">
        <v>95</v>
      </c>
      <c r="M28" s="10" t="s">
        <v>147</v>
      </c>
      <c r="N28" s="10" t="s">
        <v>6</v>
      </c>
      <c r="O28" s="10" t="s">
        <v>139</v>
      </c>
    </row>
    <row r="29" spans="1:15" s="60" customFormat="1" x14ac:dyDescent="0.25">
      <c r="A29">
        <v>0</v>
      </c>
      <c r="B29" s="6" cm="1">
        <f t="array" ref="B29">[2]!deg2rad(A29)</f>
        <v>0</v>
      </c>
      <c r="C29" s="74">
        <f t="shared" ref="C29:C37" si="3">COS(B$18-(PI()/2)-B29)*B$15</f>
        <v>1.9365368786343864</v>
      </c>
      <c r="D29" s="74">
        <f t="shared" ref="D29:D35" si="4">-SIN(B$18-(PI()/2)-B29)*B$15</f>
        <v>-0.49982488702443345</v>
      </c>
      <c r="E29" s="6">
        <f>SQRT(ABS(C29-B$20)^2+ABS(D29-C$20)^2)</f>
        <v>11.5</v>
      </c>
      <c r="F29" s="6">
        <f t="shared" ref="F29:F35" si="5">$B$3-SQRT(ABS(C29-B$20)^2+ABS(D29-C$20)^2)</f>
        <v>0</v>
      </c>
      <c r="G29" s="6">
        <f t="shared" ref="G29:I38" si="6">($F29*G$22)-G$23-$B$6</f>
        <v>-2.9077673394055901E-2</v>
      </c>
      <c r="H29" s="6">
        <f t="shared" si="6"/>
        <v>-2.4122915449185277E-2</v>
      </c>
      <c r="I29" s="6">
        <f t="shared" si="6"/>
        <v>-1.9689710972195778E-2</v>
      </c>
      <c r="J29" s="6">
        <f>H29</f>
        <v>-2.4122915449185277E-2</v>
      </c>
      <c r="K29" s="6">
        <f t="shared" ref="K29:K38" si="7">ACOS((-(B$14^2)+B$15^2+E29^2)/(2*E29*B$15))</f>
        <v>1.3237250588524943</v>
      </c>
      <c r="L29" s="53">
        <v>75.843859107954501</v>
      </c>
      <c r="M29" s="6">
        <f>COS(K29-(PI()/2))</f>
        <v>0.96963284517509207</v>
      </c>
      <c r="N29" s="5">
        <f t="shared" ref="N29:N38" si="8">B$5</f>
        <v>0.11</v>
      </c>
      <c r="O29" s="39">
        <f>[2]!linear_intp_2col(F$29:F$38,A$29:A$38,B$4)</f>
        <v>41.314928026531987</v>
      </c>
    </row>
    <row r="30" spans="1:15" s="60" customFormat="1" x14ac:dyDescent="0.25">
      <c r="A30" s="60">
        <f>A29+5</f>
        <v>5</v>
      </c>
      <c r="B30" s="6" cm="1">
        <f t="array" ref="B30">[2]!deg2rad(A30)</f>
        <v>8.7266462599716391E-2</v>
      </c>
      <c r="C30" s="74">
        <f t="shared" si="3"/>
        <v>1.9727303804270926</v>
      </c>
      <c r="D30" s="74">
        <f t="shared" si="4"/>
        <v>-0.32914259241243499</v>
      </c>
      <c r="E30" s="6">
        <f t="shared" ref="E30:E35" si="9">SQRT(ABS(C30-B$20)^2+ABS(D30-C$20)^2)</f>
        <v>11.329175411801391</v>
      </c>
      <c r="F30" s="6">
        <f t="shared" si="5"/>
        <v>0.17082458819860946</v>
      </c>
      <c r="G30" s="6">
        <f t="shared" si="6"/>
        <v>2.333065388497273E-2</v>
      </c>
      <c r="H30" s="6">
        <f t="shared" si="6"/>
        <v>1.8327829646827911E-2</v>
      </c>
      <c r="I30" s="6">
        <f t="shared" si="6"/>
        <v>1.3851618486382545E-2</v>
      </c>
      <c r="J30" s="6">
        <f t="shared" ref="J30:J38" si="10">H30</f>
        <v>1.8327829646827911E-2</v>
      </c>
      <c r="K30" s="6">
        <f t="shared" si="7"/>
        <v>1.4078799894552343</v>
      </c>
      <c r="L30" s="53">
        <v>80.665581456707841</v>
      </c>
      <c r="M30" s="6">
        <f t="shared" ref="M30:M35" si="11">COS(K30-(PI()/2))</f>
        <v>0.98675846020676172</v>
      </c>
      <c r="N30" s="5">
        <f t="shared" si="8"/>
        <v>0.11</v>
      </c>
      <c r="O30" s="39">
        <f>[2]!linear_intp_2col(F$29:F$38,A$29:A$38,B$4)</f>
        <v>41.314928026531987</v>
      </c>
    </row>
    <row r="31" spans="1:15" s="60" customFormat="1" x14ac:dyDescent="0.25">
      <c r="A31" s="60">
        <f t="shared" ref="A31:A34" si="12">A30+5</f>
        <v>10</v>
      </c>
      <c r="B31" s="6" cm="1">
        <f t="array" ref="B31">[2]!deg2rad(A31)</f>
        <v>0.17453292519943278</v>
      </c>
      <c r="C31" s="74">
        <f t="shared" si="3"/>
        <v>1.9939102128575774</v>
      </c>
      <c r="D31" s="74">
        <f t="shared" si="4"/>
        <v>-0.15595532393044673</v>
      </c>
      <c r="E31" s="6">
        <f t="shared" si="9"/>
        <v>11.155956986069798</v>
      </c>
      <c r="F31" s="6">
        <f t="shared" si="5"/>
        <v>0.34404301393020198</v>
      </c>
      <c r="G31" s="6">
        <f t="shared" si="6"/>
        <v>7.6473401320984458E-2</v>
      </c>
      <c r="H31" s="6">
        <f t="shared" si="6"/>
        <v>6.1373455069997418E-2</v>
      </c>
      <c r="I31" s="6">
        <f t="shared" si="6"/>
        <v>4.7862976845430061E-2</v>
      </c>
      <c r="J31" s="6">
        <f t="shared" si="10"/>
        <v>6.1373455069997418E-2</v>
      </c>
      <c r="K31" s="6">
        <f t="shared" si="7"/>
        <v>1.4932853013860807</v>
      </c>
      <c r="L31" s="53">
        <v>85.558945378343651</v>
      </c>
      <c r="M31" s="6">
        <f t="shared" si="11"/>
        <v>0.99699752415104326</v>
      </c>
      <c r="N31" s="5">
        <f t="shared" si="8"/>
        <v>0.11</v>
      </c>
      <c r="O31" s="39">
        <f>[2]!linear_intp_2col(F$29:F$38,A$29:A$38,B$4)</f>
        <v>41.314928026531987</v>
      </c>
    </row>
    <row r="32" spans="1:15" s="60" customFormat="1" x14ac:dyDescent="0.25">
      <c r="A32" s="60">
        <f t="shared" si="12"/>
        <v>15</v>
      </c>
      <c r="B32" s="6" cm="1">
        <f t="array" ref="B32">[2]!deg2rad(A32)</f>
        <v>0.26179938779914919</v>
      </c>
      <c r="C32" s="74">
        <f t="shared" si="3"/>
        <v>1.999915184612312</v>
      </c>
      <c r="D32" s="74">
        <f t="shared" si="4"/>
        <v>1.841885873505146E-2</v>
      </c>
      <c r="E32" s="6">
        <f t="shared" si="9"/>
        <v>10.98158114159248</v>
      </c>
      <c r="F32" s="6">
        <f t="shared" si="5"/>
        <v>0.51841885840751978</v>
      </c>
      <c r="G32" s="6">
        <f t="shared" si="6"/>
        <v>0.12997124038089247</v>
      </c>
      <c r="H32" s="6">
        <f t="shared" si="6"/>
        <v>0.1047067047085229</v>
      </c>
      <c r="I32" s="6">
        <f t="shared" si="6"/>
        <v>8.2101593843771178E-2</v>
      </c>
      <c r="J32" s="6">
        <f t="shared" si="10"/>
        <v>0.1047067047085229</v>
      </c>
      <c r="K32" s="6">
        <f t="shared" si="7"/>
        <v>1.580013609770395</v>
      </c>
      <c r="L32" s="53">
        <v>90.52811141307393</v>
      </c>
      <c r="M32" s="6">
        <f t="shared" si="11"/>
        <v>0.99995752114802039</v>
      </c>
      <c r="N32" s="5">
        <f t="shared" si="8"/>
        <v>0.11</v>
      </c>
      <c r="O32" s="39">
        <f>[2]!linear_intp_2col(F$29:F$38,A$29:A$38,B$4)</f>
        <v>41.314928026531987</v>
      </c>
    </row>
    <row r="33" spans="1:15" s="60" customFormat="1" x14ac:dyDescent="0.25">
      <c r="A33" s="60">
        <f t="shared" si="12"/>
        <v>20</v>
      </c>
      <c r="B33" s="6" cm="1">
        <f t="array" ref="B33">[2]!deg2rad(A33)</f>
        <v>0.34906585039886556</v>
      </c>
      <c r="C33" s="74">
        <f t="shared" si="3"/>
        <v>1.9906995942303423</v>
      </c>
      <c r="D33" s="74">
        <f t="shared" si="4"/>
        <v>0.19265286276396487</v>
      </c>
      <c r="E33" s="6">
        <f t="shared" si="9"/>
        <v>10.807351139029</v>
      </c>
      <c r="F33" s="6">
        <f t="shared" si="5"/>
        <v>0.69264886097099954</v>
      </c>
      <c r="G33" s="6">
        <f t="shared" si="6"/>
        <v>0.18342433570202127</v>
      </c>
      <c r="H33" s="6">
        <f t="shared" si="6"/>
        <v>0.1480037119186372</v>
      </c>
      <c r="I33" s="6">
        <f t="shared" si="6"/>
        <v>0.11631157484929359</v>
      </c>
      <c r="J33" s="6">
        <f t="shared" si="10"/>
        <v>0.1480037119186372</v>
      </c>
      <c r="K33" s="6">
        <f t="shared" si="7"/>
        <v>1.6681329119848505</v>
      </c>
      <c r="L33" s="53">
        <v>95.576975523600055</v>
      </c>
      <c r="M33" s="6">
        <f t="shared" si="11"/>
        <v>0.99526653359662398</v>
      </c>
      <c r="N33" s="5">
        <f t="shared" si="8"/>
        <v>0.11</v>
      </c>
      <c r="O33" s="39">
        <f>[2]!linear_intp_2col(F$29:F$38,A$29:A$38,B$4)</f>
        <v>41.314928026531987</v>
      </c>
    </row>
    <row r="34" spans="1:15" x14ac:dyDescent="0.25">
      <c r="A34" s="60">
        <f t="shared" si="12"/>
        <v>25</v>
      </c>
      <c r="B34" s="6" cm="1">
        <f t="array" ref="B34">[2]!deg2rad(A34)</f>
        <v>0.43633231299858194</v>
      </c>
      <c r="C34" s="74">
        <f t="shared" si="3"/>
        <v>1.9663335779190001</v>
      </c>
      <c r="D34" s="74">
        <f t="shared" si="4"/>
        <v>0.36542066218026548</v>
      </c>
      <c r="E34" s="6">
        <f t="shared" si="9"/>
        <v>10.634632627428093</v>
      </c>
      <c r="F34" s="6">
        <f t="shared" si="5"/>
        <v>0.86536737257190666</v>
      </c>
      <c r="G34" s="6">
        <f t="shared" si="6"/>
        <v>0.23641371140362025</v>
      </c>
      <c r="H34" s="6">
        <f t="shared" si="6"/>
        <v>0.19092510623693237</v>
      </c>
      <c r="I34" s="6">
        <f t="shared" si="6"/>
        <v>0.1502247752983169</v>
      </c>
      <c r="J34" s="6">
        <f t="shared" si="10"/>
        <v>0.19092510623693237</v>
      </c>
      <c r="K34" s="6">
        <f t="shared" si="7"/>
        <v>1.7577045512110512</v>
      </c>
      <c r="L34" s="53">
        <v>100.70905241532981</v>
      </c>
      <c r="M34" s="6">
        <f t="shared" si="11"/>
        <v>0.98258344998433167</v>
      </c>
      <c r="N34" s="5">
        <f t="shared" si="8"/>
        <v>0.11</v>
      </c>
      <c r="O34" s="39">
        <f>[2]!linear_intp_2col(F$29:F$38,A$29:A$38,B$4)</f>
        <v>41.314928026531987</v>
      </c>
    </row>
    <row r="35" spans="1:15" x14ac:dyDescent="0.25">
      <c r="A35" s="60">
        <f t="shared" ref="A35:A38" si="13">A34+5</f>
        <v>30</v>
      </c>
      <c r="B35" s="6" cm="1">
        <f t="array" ref="B35">[2]!deg2rad(A35)</f>
        <v>0.52359877559829837</v>
      </c>
      <c r="C35" s="74">
        <f t="shared" si="3"/>
        <v>1.927002575775018</v>
      </c>
      <c r="D35" s="74">
        <f t="shared" si="4"/>
        <v>0.53540738971034585</v>
      </c>
      <c r="E35" s="6">
        <f t="shared" si="9"/>
        <v>10.46484720974331</v>
      </c>
      <c r="F35" s="6">
        <f t="shared" si="5"/>
        <v>1.0351527902566904</v>
      </c>
      <c r="G35" s="6">
        <f t="shared" si="6"/>
        <v>0.28850322516193966</v>
      </c>
      <c r="H35" s="6">
        <f t="shared" si="6"/>
        <v>0.23311761238117112</v>
      </c>
      <c r="I35" s="6">
        <f t="shared" si="6"/>
        <v>0.1835620641036414</v>
      </c>
      <c r="J35" s="6">
        <f t="shared" si="10"/>
        <v>0.23311761238117112</v>
      </c>
      <c r="K35" s="6">
        <f t="shared" si="7"/>
        <v>1.8487808194900297</v>
      </c>
      <c r="L35" s="53">
        <v>105.92733820151651</v>
      </c>
      <c r="M35" s="6">
        <f t="shared" si="11"/>
        <v>0.96161048272955052</v>
      </c>
      <c r="N35" s="5">
        <f t="shared" si="8"/>
        <v>0.11</v>
      </c>
      <c r="O35" s="39">
        <f>[2]!linear_intp_2col(F$29:F$38,A$29:A$38,B$4)</f>
        <v>41.314928026531987</v>
      </c>
    </row>
    <row r="36" spans="1:15" x14ac:dyDescent="0.25">
      <c r="A36" s="60">
        <f t="shared" si="13"/>
        <v>35</v>
      </c>
      <c r="B36" s="6" cm="1">
        <f t="array" ref="B36">[2]!deg2rad(A36)</f>
        <v>0.61086523819801475</v>
      </c>
      <c r="C36" s="74">
        <f t="shared" si="3"/>
        <v>1.87300592047342</v>
      </c>
      <c r="D36" s="74">
        <f t="shared" ref="D36:D37" si="14">-SIN(B$18-(PI()/2)-B36)*B$15</f>
        <v>0.70131934371690952</v>
      </c>
      <c r="E36" s="6">
        <f t="shared" ref="E36:E37" si="15">SQRT(ABS(C36-B$20)^2+ABS(D36-C$20)^2)</f>
        <v>10.299463614981818</v>
      </c>
      <c r="F36" s="6">
        <f t="shared" ref="F36:F37" si="16">$B$3-SQRT(ABS(C36-B$20)^2+ABS(D36-C$20)^2)</f>
        <v>1.2005363850181823</v>
      </c>
      <c r="G36" s="6">
        <f t="shared" si="6"/>
        <v>0.33924227656105821</v>
      </c>
      <c r="H36" s="6">
        <f t="shared" si="6"/>
        <v>0.27421624401445716</v>
      </c>
      <c r="I36" s="6">
        <f t="shared" si="6"/>
        <v>0.21603505699907727</v>
      </c>
      <c r="J36" s="6">
        <f t="shared" si="10"/>
        <v>0.27421624401445716</v>
      </c>
      <c r="K36" s="6">
        <f t="shared" si="7"/>
        <v>1.9414022135927427</v>
      </c>
      <c r="L36" s="53">
        <v>111.23415317621985</v>
      </c>
      <c r="M36" s="6">
        <f t="shared" ref="M36:M37" si="17">COS(K36-(PI()/2))</f>
        <v>0.93210807647518934</v>
      </c>
      <c r="N36" s="5">
        <f t="shared" si="8"/>
        <v>0.11</v>
      </c>
      <c r="O36" s="39">
        <f>[2]!linear_intp_2col(F$29:F$38,A$29:A$38,B$4)</f>
        <v>41.314928026531987</v>
      </c>
    </row>
    <row r="37" spans="1:15" x14ac:dyDescent="0.25">
      <c r="A37" s="60">
        <f t="shared" si="13"/>
        <v>40</v>
      </c>
      <c r="B37" s="6" cm="1">
        <f t="array" ref="B37">[2]!deg2rad(A37)</f>
        <v>0.69813170079773113</v>
      </c>
      <c r="C37" s="74">
        <f t="shared" si="3"/>
        <v>1.8047545591651233</v>
      </c>
      <c r="D37" s="74">
        <f t="shared" si="14"/>
        <v>0.86189383404958964</v>
      </c>
      <c r="E37" s="6">
        <f t="shared" si="15"/>
        <v>10.139986065781775</v>
      </c>
      <c r="F37" s="6">
        <f t="shared" si="16"/>
        <v>1.3600139342182249</v>
      </c>
      <c r="G37" s="6">
        <f t="shared" si="6"/>
        <v>0.38816937587544875</v>
      </c>
      <c r="H37" s="6">
        <f t="shared" si="6"/>
        <v>0.31384719445911347</v>
      </c>
      <c r="I37" s="6">
        <f t="shared" si="6"/>
        <v>0.24734840056028717</v>
      </c>
      <c r="J37" s="6">
        <f t="shared" si="10"/>
        <v>0.31384719445911347</v>
      </c>
      <c r="K37" s="6">
        <f t="shared" si="7"/>
        <v>2.035594390261362</v>
      </c>
      <c r="L37" s="53">
        <v>116.63096736248235</v>
      </c>
      <c r="M37" s="6">
        <f t="shared" si="17"/>
        <v>0.89391210032789659</v>
      </c>
      <c r="N37" s="5">
        <f t="shared" si="8"/>
        <v>0.11</v>
      </c>
      <c r="O37" s="39">
        <f>[2]!linear_intp_2col(F$29:F$38,A$29:A$38,B$4)</f>
        <v>41.314928026531987</v>
      </c>
    </row>
    <row r="38" spans="1:15" x14ac:dyDescent="0.25">
      <c r="A38" s="89">
        <f t="shared" si="13"/>
        <v>45</v>
      </c>
      <c r="B38" s="6" cm="1">
        <f t="array" ref="B38">[2]!deg2rad(A38)</f>
        <v>0.7853981633974475</v>
      </c>
      <c r="C38" s="74">
        <f t="shared" ref="C38" si="18">COS(B$18-(PI()/2)-B38)*B$15</f>
        <v>1.7227679259209825</v>
      </c>
      <c r="D38" s="74">
        <f t="shared" ref="D38" si="19">-SIN(B$18-(PI()/2)-B38)*B$15</f>
        <v>1.0159087918794265</v>
      </c>
      <c r="E38" s="6">
        <f t="shared" ref="E38" si="20">SQRT(ABS(C38-B$20)^2+ABS(D38-C$20)^2)</f>
        <v>9.9879394709303639</v>
      </c>
      <c r="F38" s="6">
        <f t="shared" ref="F38" si="21">$B$3-SQRT(ABS(C38-B$20)^2+ABS(D38-C$20)^2)</f>
        <v>1.5120605290696361</v>
      </c>
      <c r="G38" s="6">
        <f t="shared" si="6"/>
        <v>0.43481668694854803</v>
      </c>
      <c r="H38" s="6">
        <f t="shared" si="6"/>
        <v>0.35163151642832391</v>
      </c>
      <c r="I38" s="6">
        <f t="shared" si="6"/>
        <v>0.27720267964707074</v>
      </c>
      <c r="J38" s="6">
        <f t="shared" si="10"/>
        <v>0.35163151642832391</v>
      </c>
      <c r="K38" s="6">
        <f t="shared" si="7"/>
        <v>2.1313649107323718</v>
      </c>
      <c r="L38" s="53">
        <v>117.630967362482</v>
      </c>
      <c r="M38" s="6">
        <f t="shared" ref="M38" si="22">COS(K38-(PI()/2))</f>
        <v>0.84695295013617145</v>
      </c>
      <c r="N38" s="5">
        <f t="shared" si="8"/>
        <v>0.11</v>
      </c>
      <c r="O38" s="39">
        <f>[2]!linear_intp_2col(F$29:F$38,A$29:A$38,B$4)</f>
        <v>41.314928026531987</v>
      </c>
    </row>
    <row r="57" spans="5:5" x14ac:dyDescent="0.25">
      <c r="E57"/>
    </row>
    <row r="58" spans="5:5" x14ac:dyDescent="0.25">
      <c r="E58"/>
    </row>
    <row r="59" spans="5:5" x14ac:dyDescent="0.25">
      <c r="E59"/>
    </row>
    <row r="60" spans="5:5" x14ac:dyDescent="0.25">
      <c r="E60"/>
    </row>
    <row r="61" spans="5:5" x14ac:dyDescent="0.25">
      <c r="E61"/>
    </row>
    <row r="62" spans="5:5" x14ac:dyDescent="0.25">
      <c r="E62"/>
    </row>
  </sheetData>
  <mergeCells count="3">
    <mergeCell ref="C26:D26"/>
    <mergeCell ref="A1:XFD1"/>
    <mergeCell ref="G27:J27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56CC-98B4-4683-B874-494412BC823B}">
  <dimension ref="A1:N80"/>
  <sheetViews>
    <sheetView zoomScale="85" zoomScaleNormal="85" workbookViewId="0">
      <selection activeCell="C13" sqref="C13"/>
    </sheetView>
  </sheetViews>
  <sheetFormatPr defaultRowHeight="15" x14ac:dyDescent="0.25"/>
  <cols>
    <col min="1" max="1" width="19.28515625" style="17" bestFit="1" customWidth="1"/>
    <col min="2" max="2" width="44.5703125" style="17" bestFit="1" customWidth="1"/>
    <col min="3" max="3" width="17.7109375" style="17" bestFit="1" customWidth="1"/>
    <col min="4" max="4" width="18" style="17" bestFit="1" customWidth="1"/>
    <col min="5" max="5" width="30" style="17" bestFit="1" customWidth="1"/>
    <col min="6" max="6" width="8" style="17" bestFit="1" customWidth="1"/>
    <col min="7" max="7" width="18" style="17" bestFit="1" customWidth="1"/>
    <col min="8" max="8" width="20" style="17" bestFit="1" customWidth="1"/>
    <col min="9" max="9" width="20" style="17" customWidth="1"/>
    <col min="10" max="10" width="5.7109375" style="17" bestFit="1" customWidth="1"/>
    <col min="11" max="11" width="20" style="17" bestFit="1" customWidth="1"/>
    <col min="12" max="12" width="15.7109375" style="17" bestFit="1" customWidth="1"/>
    <col min="13" max="13" width="14.42578125" style="17" bestFit="1" customWidth="1"/>
    <col min="14" max="14" width="9.28515625" style="17" bestFit="1" customWidth="1"/>
    <col min="15" max="16384" width="9.140625" style="17"/>
  </cols>
  <sheetData>
    <row r="1" spans="1:9" x14ac:dyDescent="0.25">
      <c r="A1" s="124" t="s">
        <v>182</v>
      </c>
      <c r="B1" s="124"/>
      <c r="C1" s="124"/>
      <c r="D1" s="124"/>
      <c r="E1" s="124"/>
      <c r="F1" s="124"/>
      <c r="G1" s="124"/>
      <c r="H1" s="124"/>
      <c r="I1" s="124"/>
    </row>
    <row r="3" spans="1:9" x14ac:dyDescent="0.25">
      <c r="A3" s="17" t="s">
        <v>118</v>
      </c>
      <c r="B3" s="17" t="s">
        <v>116</v>
      </c>
      <c r="C3" s="17">
        <v>65</v>
      </c>
      <c r="D3" s="17" t="s">
        <v>22</v>
      </c>
      <c r="E3" s="59" t="s">
        <v>112</v>
      </c>
    </row>
    <row r="4" spans="1:9" x14ac:dyDescent="0.25">
      <c r="B4" s="17" t="s">
        <v>114</v>
      </c>
      <c r="C4" s="17">
        <v>0.22</v>
      </c>
      <c r="D4" s="17" t="s">
        <v>113</v>
      </c>
      <c r="E4" s="59" t="s">
        <v>112</v>
      </c>
    </row>
    <row r="6" spans="1:9" x14ac:dyDescent="0.25">
      <c r="A6" s="17" t="s">
        <v>117</v>
      </c>
      <c r="B6" s="17" t="s">
        <v>116</v>
      </c>
      <c r="C6" s="17">
        <v>100</v>
      </c>
      <c r="D6" s="17" t="s">
        <v>22</v>
      </c>
      <c r="E6" s="59" t="s">
        <v>112</v>
      </c>
    </row>
    <row r="7" spans="1:9" x14ac:dyDescent="0.25">
      <c r="B7" s="17" t="s">
        <v>115</v>
      </c>
      <c r="C7" s="17">
        <v>20</v>
      </c>
      <c r="D7" s="17" t="s">
        <v>61</v>
      </c>
      <c r="E7" s="59" t="s">
        <v>112</v>
      </c>
      <c r="F7" s="59"/>
    </row>
    <row r="8" spans="1:9" x14ac:dyDescent="0.25">
      <c r="B8" s="17" t="s">
        <v>114</v>
      </c>
      <c r="C8" s="17">
        <v>0.4</v>
      </c>
      <c r="D8" s="17" t="s">
        <v>113</v>
      </c>
      <c r="E8" s="59" t="s">
        <v>112</v>
      </c>
    </row>
    <row r="10" spans="1:9" x14ac:dyDescent="0.25">
      <c r="A10" s="17" t="s">
        <v>111</v>
      </c>
      <c r="B10" s="17" t="s">
        <v>110</v>
      </c>
      <c r="C10" s="17">
        <v>25</v>
      </c>
      <c r="D10" s="17" t="s">
        <v>61</v>
      </c>
      <c r="E10" s="59" t="s">
        <v>108</v>
      </c>
    </row>
    <row r="11" spans="1:9" x14ac:dyDescent="0.25">
      <c r="B11" s="17" t="s">
        <v>109</v>
      </c>
      <c r="C11" s="17">
        <v>15</v>
      </c>
      <c r="D11" s="17" t="s">
        <v>61</v>
      </c>
      <c r="E11" s="59" t="s">
        <v>108</v>
      </c>
    </row>
    <row r="12" spans="1:9" x14ac:dyDescent="0.25">
      <c r="B12" s="17" t="s">
        <v>107</v>
      </c>
      <c r="C12" s="17">
        <v>20</v>
      </c>
      <c r="D12" s="17" t="s">
        <v>22</v>
      </c>
      <c r="E12" s="59" t="s">
        <v>103</v>
      </c>
    </row>
    <row r="13" spans="1:9" x14ac:dyDescent="0.25">
      <c r="B13" s="17" t="s">
        <v>106</v>
      </c>
      <c r="C13" s="17">
        <v>15</v>
      </c>
      <c r="D13" s="17" t="s">
        <v>22</v>
      </c>
      <c r="E13" s="59" t="s">
        <v>103</v>
      </c>
    </row>
    <row r="14" spans="1:9" x14ac:dyDescent="0.25">
      <c r="B14" s="17" t="s">
        <v>105</v>
      </c>
      <c r="C14" s="17">
        <v>125</v>
      </c>
      <c r="D14" s="17" t="s">
        <v>22</v>
      </c>
      <c r="E14" s="59" t="s">
        <v>103</v>
      </c>
    </row>
    <row r="15" spans="1:9" x14ac:dyDescent="0.25">
      <c r="B15" s="17" t="s">
        <v>104</v>
      </c>
      <c r="C15" s="17">
        <v>75</v>
      </c>
      <c r="D15" s="17" t="s">
        <v>22</v>
      </c>
      <c r="E15" s="59" t="s">
        <v>103</v>
      </c>
    </row>
    <row r="16" spans="1:9" x14ac:dyDescent="0.25">
      <c r="B16" s="17" t="s">
        <v>102</v>
      </c>
      <c r="C16" s="17">
        <v>0</v>
      </c>
      <c r="D16" s="17" t="s">
        <v>61</v>
      </c>
    </row>
    <row r="17" spans="2:5" x14ac:dyDescent="0.25">
      <c r="B17" s="17" t="s">
        <v>127</v>
      </c>
      <c r="C17" s="17">
        <v>5</v>
      </c>
      <c r="D17" s="17" t="s">
        <v>61</v>
      </c>
    </row>
    <row r="19" spans="2:5" x14ac:dyDescent="0.25">
      <c r="E19" s="59"/>
    </row>
    <row r="20" spans="2:5" x14ac:dyDescent="0.25">
      <c r="E20" s="59"/>
    </row>
    <row r="22" spans="2:5" x14ac:dyDescent="0.25">
      <c r="C22" s="5"/>
    </row>
    <row r="23" spans="2:5" x14ac:dyDescent="0.25">
      <c r="C23" s="5"/>
    </row>
    <row r="24" spans="2:5" ht="15.75" customHeight="1" x14ac:dyDescent="0.25">
      <c r="C24" s="5"/>
    </row>
    <row r="25" spans="2:5" ht="15.75" customHeight="1" x14ac:dyDescent="0.25">
      <c r="C25" s="5"/>
    </row>
    <row r="26" spans="2:5" x14ac:dyDescent="0.25">
      <c r="C26" s="5"/>
    </row>
    <row r="27" spans="2:5" x14ac:dyDescent="0.25">
      <c r="C27" s="5"/>
    </row>
    <row r="28" spans="2:5" x14ac:dyDescent="0.25">
      <c r="C28" s="5"/>
    </row>
    <row r="29" spans="2:5" x14ac:dyDescent="0.25">
      <c r="C29" s="5"/>
    </row>
    <row r="30" spans="2:5" x14ac:dyDescent="0.25">
      <c r="C30" s="5"/>
    </row>
    <row r="32" spans="2:5" x14ac:dyDescent="0.25">
      <c r="C32" s="5"/>
    </row>
    <row r="34" spans="3:5" x14ac:dyDescent="0.25">
      <c r="C34" s="5"/>
      <c r="E34" s="59"/>
    </row>
    <row r="35" spans="3:5" x14ac:dyDescent="0.25">
      <c r="D35" s="5"/>
      <c r="E35" s="59"/>
    </row>
    <row r="36" spans="3:5" x14ac:dyDescent="0.25">
      <c r="C36" s="6"/>
      <c r="D36" s="5"/>
    </row>
    <row r="37" spans="3:5" x14ac:dyDescent="0.25">
      <c r="C37" s="6"/>
      <c r="D37" s="5"/>
    </row>
    <row r="38" spans="3:5" x14ac:dyDescent="0.25">
      <c r="C38" s="5"/>
    </row>
    <row r="39" spans="3:5" x14ac:dyDescent="0.25">
      <c r="C39" s="39"/>
      <c r="D39" s="5"/>
    </row>
    <row r="40" spans="3:5" x14ac:dyDescent="0.25">
      <c r="C40" s="39"/>
      <c r="D40" s="5"/>
    </row>
    <row r="41" spans="3:5" x14ac:dyDescent="0.25">
      <c r="C41" s="5"/>
      <c r="D41" s="5"/>
    </row>
    <row r="42" spans="3:5" x14ac:dyDescent="0.25">
      <c r="C42" s="5"/>
      <c r="D42" s="5"/>
    </row>
    <row r="43" spans="3:5" x14ac:dyDescent="0.25">
      <c r="C43" s="5"/>
      <c r="D43" s="5"/>
    </row>
    <row r="44" spans="3:5" x14ac:dyDescent="0.25">
      <c r="C44" s="5"/>
    </row>
    <row r="50" spans="3:14" x14ac:dyDescent="0.25">
      <c r="C50" s="5"/>
      <c r="D50" s="5"/>
      <c r="E50" s="39"/>
      <c r="F50" s="39"/>
      <c r="G50" s="39"/>
      <c r="H50" s="39"/>
      <c r="J50" s="39"/>
      <c r="K50" s="39"/>
      <c r="L50" s="39"/>
      <c r="M50" s="39"/>
      <c r="N50" s="39"/>
    </row>
    <row r="51" spans="3:14" x14ac:dyDescent="0.25">
      <c r="C51" s="5"/>
      <c r="D51" s="5"/>
      <c r="E51" s="39"/>
      <c r="F51" s="39"/>
      <c r="G51" s="39"/>
      <c r="H51" s="39"/>
      <c r="J51" s="39"/>
      <c r="K51" s="39"/>
      <c r="L51" s="39"/>
      <c r="M51" s="39"/>
      <c r="N51" s="39"/>
    </row>
    <row r="52" spans="3:14" x14ac:dyDescent="0.25">
      <c r="C52" s="5"/>
      <c r="D52" s="5"/>
      <c r="E52" s="39"/>
      <c r="F52" s="39"/>
      <c r="G52" s="39"/>
      <c r="H52" s="39"/>
      <c r="J52" s="39"/>
      <c r="K52" s="39"/>
      <c r="L52" s="39"/>
      <c r="M52" s="39"/>
      <c r="N52" s="39"/>
    </row>
    <row r="53" spans="3:14" x14ac:dyDescent="0.25">
      <c r="C53" s="5"/>
      <c r="D53" s="5"/>
      <c r="E53" s="39"/>
      <c r="F53" s="39"/>
      <c r="G53" s="39"/>
      <c r="H53" s="39"/>
      <c r="J53" s="39"/>
      <c r="K53" s="39"/>
      <c r="L53" s="39"/>
      <c r="M53" s="39"/>
      <c r="N53" s="39"/>
    </row>
    <row r="54" spans="3:14" x14ac:dyDescent="0.25">
      <c r="C54" s="5"/>
      <c r="D54" s="5"/>
      <c r="E54" s="39"/>
      <c r="F54" s="39"/>
      <c r="G54" s="39"/>
      <c r="H54" s="39"/>
      <c r="J54" s="39"/>
      <c r="K54" s="39"/>
      <c r="L54" s="39"/>
      <c r="M54" s="39"/>
      <c r="N54" s="39"/>
    </row>
    <row r="55" spans="3:14" x14ac:dyDescent="0.25">
      <c r="C55" s="5"/>
      <c r="D55" s="5"/>
      <c r="E55" s="39"/>
      <c r="F55" s="39"/>
      <c r="G55" s="39"/>
      <c r="H55" s="39"/>
      <c r="J55" s="39"/>
      <c r="K55" s="39"/>
      <c r="L55" s="39"/>
      <c r="M55" s="39"/>
      <c r="N55" s="39"/>
    </row>
    <row r="56" spans="3:14" x14ac:dyDescent="0.25">
      <c r="C56" s="5"/>
      <c r="D56" s="5"/>
      <c r="E56" s="39"/>
      <c r="F56" s="39"/>
      <c r="G56" s="39"/>
      <c r="H56" s="39"/>
      <c r="J56" s="39"/>
      <c r="K56" s="39"/>
      <c r="L56" s="39"/>
      <c r="M56" s="39"/>
      <c r="N56" s="39"/>
    </row>
    <row r="57" spans="3:14" x14ac:dyDescent="0.25">
      <c r="C57" s="5"/>
      <c r="D57" s="5"/>
      <c r="E57" s="39"/>
      <c r="F57" s="39"/>
      <c r="G57" s="39"/>
      <c r="H57" s="39"/>
      <c r="J57" s="39"/>
      <c r="K57" s="39"/>
      <c r="L57" s="39"/>
      <c r="M57" s="39"/>
      <c r="N57" s="39"/>
    </row>
    <row r="58" spans="3:14" x14ac:dyDescent="0.25">
      <c r="C58" s="5"/>
      <c r="D58" s="5"/>
      <c r="E58" s="39"/>
      <c r="F58" s="39"/>
      <c r="G58" s="39"/>
      <c r="H58" s="39"/>
      <c r="J58" s="39"/>
      <c r="K58" s="39"/>
      <c r="L58" s="39"/>
      <c r="M58" s="39"/>
      <c r="N58" s="39"/>
    </row>
    <row r="59" spans="3:14" x14ac:dyDescent="0.25">
      <c r="C59" s="5"/>
      <c r="D59" s="5"/>
      <c r="E59" s="39"/>
      <c r="F59" s="39"/>
      <c r="G59" s="39"/>
      <c r="H59" s="39"/>
      <c r="J59" s="39"/>
      <c r="K59" s="39"/>
      <c r="L59" s="39"/>
      <c r="M59" s="39"/>
      <c r="N59" s="39"/>
    </row>
    <row r="60" spans="3:14" x14ac:dyDescent="0.25">
      <c r="C60" s="5"/>
      <c r="D60" s="5"/>
      <c r="E60" s="39"/>
      <c r="F60" s="39"/>
      <c r="G60" s="39"/>
      <c r="H60" s="39"/>
      <c r="J60" s="39"/>
      <c r="K60" s="39"/>
      <c r="L60" s="39"/>
      <c r="M60" s="39"/>
      <c r="N60" s="39"/>
    </row>
    <row r="61" spans="3:14" x14ac:dyDescent="0.25">
      <c r="C61" s="5"/>
      <c r="D61" s="5"/>
      <c r="E61" s="39"/>
      <c r="F61" s="39"/>
      <c r="G61" s="39"/>
      <c r="H61" s="39"/>
      <c r="J61" s="39"/>
      <c r="K61" s="39"/>
      <c r="L61" s="39"/>
      <c r="M61" s="39"/>
      <c r="N61" s="39"/>
    </row>
    <row r="62" spans="3:14" x14ac:dyDescent="0.25">
      <c r="C62" s="5"/>
      <c r="D62" s="5"/>
      <c r="E62" s="39"/>
      <c r="F62" s="39"/>
      <c r="G62" s="39"/>
      <c r="H62" s="39"/>
      <c r="J62" s="39"/>
      <c r="K62" s="39"/>
      <c r="L62" s="39"/>
      <c r="M62" s="39"/>
      <c r="N62" s="39"/>
    </row>
    <row r="63" spans="3:14" x14ac:dyDescent="0.25">
      <c r="C63" s="5"/>
      <c r="D63" s="5"/>
      <c r="E63" s="39"/>
      <c r="F63" s="39"/>
      <c r="G63" s="39"/>
      <c r="H63" s="39"/>
      <c r="J63" s="39"/>
      <c r="K63" s="39"/>
      <c r="L63" s="39"/>
      <c r="M63" s="39"/>
      <c r="N63" s="39"/>
    </row>
    <row r="64" spans="3:14" x14ac:dyDescent="0.25">
      <c r="C64" s="5"/>
      <c r="D64" s="5"/>
      <c r="E64" s="39"/>
      <c r="F64" s="39"/>
      <c r="G64" s="39"/>
      <c r="H64" s="39"/>
      <c r="J64" s="39"/>
      <c r="K64" s="39"/>
      <c r="L64" s="39"/>
      <c r="M64" s="39"/>
      <c r="N64" s="39"/>
    </row>
    <row r="65" spans="3:14" x14ac:dyDescent="0.25">
      <c r="C65" s="5"/>
      <c r="D65" s="5"/>
      <c r="E65" s="39"/>
      <c r="F65" s="39"/>
      <c r="G65" s="39"/>
      <c r="H65" s="39"/>
      <c r="J65" s="39"/>
      <c r="K65" s="39"/>
      <c r="L65" s="39"/>
      <c r="M65" s="39"/>
      <c r="N65" s="39"/>
    </row>
    <row r="66" spans="3:14" x14ac:dyDescent="0.25">
      <c r="C66" s="5"/>
      <c r="D66" s="5"/>
      <c r="E66" s="39"/>
      <c r="F66" s="39"/>
      <c r="G66" s="39"/>
      <c r="H66" s="39"/>
      <c r="J66" s="39"/>
      <c r="K66" s="39"/>
      <c r="L66" s="39"/>
      <c r="M66" s="39"/>
      <c r="N66" s="39"/>
    </row>
    <row r="67" spans="3:14" x14ac:dyDescent="0.25">
      <c r="C67" s="5"/>
      <c r="D67" s="5"/>
      <c r="E67" s="39"/>
      <c r="F67" s="39"/>
      <c r="G67" s="39"/>
      <c r="H67" s="39"/>
      <c r="J67" s="39"/>
      <c r="K67" s="39"/>
      <c r="L67" s="39"/>
      <c r="M67" s="39"/>
      <c r="N67" s="39"/>
    </row>
    <row r="68" spans="3:14" x14ac:dyDescent="0.25">
      <c r="C68" s="5"/>
      <c r="D68" s="5"/>
      <c r="E68" s="39"/>
      <c r="F68" s="39"/>
      <c r="G68" s="39"/>
      <c r="H68" s="39"/>
      <c r="J68" s="39"/>
      <c r="K68" s="39"/>
      <c r="L68" s="39"/>
      <c r="M68" s="39"/>
      <c r="N68" s="39"/>
    </row>
    <row r="69" spans="3:14" x14ac:dyDescent="0.25">
      <c r="C69" s="5"/>
      <c r="D69" s="5"/>
      <c r="E69" s="39"/>
      <c r="F69" s="39"/>
      <c r="G69" s="39"/>
      <c r="H69" s="39"/>
      <c r="J69" s="39"/>
      <c r="K69" s="39"/>
      <c r="L69" s="39"/>
      <c r="M69" s="39"/>
      <c r="N69" s="39"/>
    </row>
    <row r="70" spans="3:14" x14ac:dyDescent="0.25">
      <c r="C70" s="5"/>
      <c r="D70" s="5"/>
      <c r="E70" s="39"/>
      <c r="F70" s="39"/>
      <c r="G70" s="39"/>
      <c r="H70" s="39"/>
      <c r="J70" s="39"/>
      <c r="K70" s="39"/>
      <c r="L70" s="39"/>
      <c r="M70" s="39"/>
      <c r="N70" s="39"/>
    </row>
    <row r="71" spans="3:14" x14ac:dyDescent="0.25">
      <c r="C71" s="5"/>
      <c r="D71" s="5"/>
      <c r="E71" s="39"/>
      <c r="F71" s="39"/>
      <c r="G71" s="39"/>
      <c r="H71" s="39"/>
      <c r="J71" s="39"/>
      <c r="K71" s="39"/>
      <c r="L71" s="39"/>
      <c r="M71" s="39"/>
      <c r="N71" s="39"/>
    </row>
    <row r="72" spans="3:14" x14ac:dyDescent="0.25">
      <c r="C72" s="5"/>
      <c r="D72" s="5"/>
      <c r="E72" s="39"/>
      <c r="F72" s="39"/>
      <c r="G72" s="39"/>
      <c r="H72" s="39"/>
      <c r="J72" s="39"/>
      <c r="K72" s="39"/>
      <c r="L72" s="39"/>
      <c r="M72" s="39"/>
      <c r="N72" s="39"/>
    </row>
    <row r="73" spans="3:14" x14ac:dyDescent="0.25">
      <c r="C73" s="5"/>
      <c r="D73" s="5"/>
      <c r="E73" s="39"/>
      <c r="F73" s="39"/>
      <c r="G73" s="39"/>
      <c r="H73" s="39"/>
      <c r="J73" s="39"/>
      <c r="K73" s="39"/>
      <c r="L73" s="39"/>
      <c r="M73" s="39"/>
      <c r="N73" s="39"/>
    </row>
    <row r="74" spans="3:14" x14ac:dyDescent="0.25">
      <c r="C74" s="5"/>
      <c r="D74" s="5"/>
      <c r="E74" s="39"/>
      <c r="F74" s="39"/>
      <c r="G74" s="39"/>
      <c r="H74" s="39"/>
      <c r="J74" s="39"/>
      <c r="K74" s="39"/>
      <c r="L74" s="39"/>
      <c r="M74" s="39"/>
      <c r="N74" s="39"/>
    </row>
    <row r="75" spans="3:14" x14ac:dyDescent="0.25">
      <c r="C75" s="5"/>
      <c r="D75" s="5"/>
      <c r="E75" s="39"/>
      <c r="F75" s="39"/>
      <c r="G75" s="39"/>
      <c r="H75" s="39"/>
      <c r="J75" s="39"/>
      <c r="K75" s="39"/>
      <c r="L75" s="39"/>
      <c r="M75" s="39"/>
      <c r="N75" s="39"/>
    </row>
    <row r="76" spans="3:14" x14ac:dyDescent="0.25">
      <c r="C76" s="5"/>
      <c r="D76" s="5"/>
      <c r="E76" s="39"/>
      <c r="F76" s="39"/>
      <c r="G76" s="39"/>
      <c r="H76" s="39"/>
      <c r="J76" s="39"/>
      <c r="K76" s="39"/>
      <c r="L76" s="39"/>
      <c r="M76" s="39"/>
      <c r="N76" s="39"/>
    </row>
    <row r="77" spans="3:14" x14ac:dyDescent="0.25">
      <c r="C77" s="5"/>
      <c r="D77" s="5"/>
      <c r="E77" s="39"/>
      <c r="F77" s="39"/>
      <c r="G77" s="39"/>
      <c r="H77" s="39"/>
      <c r="J77" s="39"/>
      <c r="K77" s="39"/>
      <c r="L77" s="39"/>
      <c r="M77" s="39"/>
      <c r="N77" s="39"/>
    </row>
    <row r="78" spans="3:14" x14ac:dyDescent="0.25">
      <c r="C78" s="5"/>
      <c r="D78" s="5"/>
      <c r="E78" s="39"/>
      <c r="F78" s="39"/>
      <c r="G78" s="39"/>
      <c r="H78" s="39"/>
      <c r="J78" s="39"/>
      <c r="K78" s="39"/>
      <c r="L78" s="39"/>
      <c r="M78" s="39"/>
      <c r="N78" s="39"/>
    </row>
    <row r="79" spans="3:14" x14ac:dyDescent="0.25">
      <c r="C79" s="5"/>
      <c r="D79" s="5"/>
      <c r="E79" s="39"/>
      <c r="F79" s="39"/>
      <c r="G79" s="39"/>
      <c r="H79" s="39"/>
      <c r="J79" s="39"/>
      <c r="K79" s="39"/>
      <c r="L79" s="39"/>
      <c r="M79" s="39"/>
      <c r="N79" s="39"/>
    </row>
    <row r="80" spans="3:14" x14ac:dyDescent="0.25">
      <c r="C80" s="5"/>
      <c r="D80" s="5"/>
      <c r="E80" s="39"/>
      <c r="F80" s="39"/>
      <c r="G80" s="39"/>
      <c r="H80" s="39"/>
      <c r="J80" s="39"/>
      <c r="K80" s="39"/>
      <c r="L80" s="39"/>
      <c r="M80" s="39"/>
      <c r="N80" s="39"/>
    </row>
  </sheetData>
  <mergeCells count="1">
    <mergeCell ref="A1:I1"/>
  </mergeCells>
  <hyperlinks>
    <hyperlink ref="E3" r:id="rId1" location="slide=id.g4f3169b36b_0_229" xr:uid="{83CD9095-7780-4F31-90C3-65DA22AFC6D5}"/>
    <hyperlink ref="E4" r:id="rId2" location="slide=id.g4f3169b36b_0_229" xr:uid="{3A2C8A42-D83F-402E-AECC-CB4CD1A4DC59}"/>
    <hyperlink ref="E6" r:id="rId3" location="slide=id.g4f3169b36b_0_229" xr:uid="{96BE1DC9-6C47-41F7-A774-7AAFF2531670}"/>
    <hyperlink ref="E7" r:id="rId4" location="slide=id.g4f3169b36b_0_229" xr:uid="{87303F36-CDA4-4E56-8248-10EF35E4F9C4}"/>
    <hyperlink ref="E8" r:id="rId5" location="slide=id.g4f3169b36b_0_229" xr:uid="{CDB8248B-8A34-44CF-A29C-800AF1BB2B0A}"/>
    <hyperlink ref="E10" r:id="rId6" display="MIL-B-8584" xr:uid="{532FD7F0-7574-4C03-A946-511556F19875}"/>
    <hyperlink ref="E11" r:id="rId7" display="MIL-B-8584" xr:uid="{D4B80FF3-442F-4C72-8BAB-3264E2211213}"/>
    <hyperlink ref="E12" r:id="rId8" xr:uid="{5C5DE0EB-6115-499D-BCB3-395063EB8474}"/>
    <hyperlink ref="E13" r:id="rId9" xr:uid="{E813FF3C-9432-4504-903A-F0302B5452DB}"/>
    <hyperlink ref="E14" r:id="rId10" xr:uid="{BBF8A9BE-ED97-4A01-B704-A6A5330045D7}"/>
    <hyperlink ref="E15" r:id="rId11" xr:uid="{530DD44C-522A-45F6-AEB3-8F1E9DDEE432}"/>
  </hyperlinks>
  <pageMargins left="0.7" right="0.7" top="0.75" bottom="0.75" header="0.3" footer="0.3"/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7E2D-17CE-4010-BD63-F3F05CBD647D}">
  <dimension ref="A1:AQ124"/>
  <sheetViews>
    <sheetView tabSelected="1" topLeftCell="A55" zoomScale="70" zoomScaleNormal="70" workbookViewId="0">
      <selection activeCell="I94" sqref="I94"/>
    </sheetView>
  </sheetViews>
  <sheetFormatPr defaultRowHeight="12.75" outlineLevelCol="1" x14ac:dyDescent="0.2"/>
  <cols>
    <col min="1" max="1" width="16.28515625" style="11" bestFit="1" customWidth="1"/>
    <col min="2" max="2" width="35.28515625" style="11" bestFit="1" customWidth="1"/>
    <col min="3" max="3" width="17.7109375" style="11" bestFit="1" customWidth="1"/>
    <col min="4" max="4" width="11" style="11" bestFit="1" customWidth="1"/>
    <col min="5" max="5" width="20" style="11" customWidth="1"/>
    <col min="6" max="6" width="8.5703125" style="11" bestFit="1" customWidth="1"/>
    <col min="7" max="7" width="10.28515625" style="11" customWidth="1"/>
    <col min="8" max="8" width="15.7109375" style="11" customWidth="1"/>
    <col min="9" max="9" width="9.7109375" style="11" customWidth="1"/>
    <col min="10" max="10" width="9.140625" style="35" customWidth="1"/>
    <col min="11" max="11" width="13.140625" style="11" customWidth="1"/>
    <col min="12" max="12" width="19.7109375" style="11" bestFit="1" customWidth="1"/>
    <col min="13" max="17" width="9.140625" style="11"/>
    <col min="18" max="18" width="19.7109375" style="11" bestFit="1" customWidth="1"/>
    <col min="19" max="19" width="10.5703125" style="11" bestFit="1" customWidth="1"/>
    <col min="20" max="20" width="10.5703125" style="11" customWidth="1"/>
    <col min="21" max="22" width="9.140625" style="11"/>
    <col min="23" max="23" width="9.140625" style="35"/>
    <col min="24" max="25" width="9.140625" style="35" customWidth="1"/>
    <col min="26" max="27" width="9.140625" style="11" customWidth="1" outlineLevel="1"/>
    <col min="28" max="28" width="7.42578125" style="11" bestFit="1" customWidth="1"/>
    <col min="29" max="30" width="9.140625" style="11" customWidth="1" outlineLevel="1"/>
    <col min="31" max="33" width="9.140625" style="11" customWidth="1"/>
    <col min="34" max="43" width="9.140625" style="11"/>
    <col min="44" max="16384" width="9.140625" style="35"/>
  </cols>
  <sheetData>
    <row r="1" spans="1:23" s="11" customFormat="1" ht="15" x14ac:dyDescent="0.25">
      <c r="A1" s="1"/>
      <c r="B1" s="1"/>
      <c r="C1" s="1" t="s">
        <v>43</v>
      </c>
      <c r="D1" s="1"/>
      <c r="E1" s="1" t="s">
        <v>3</v>
      </c>
      <c r="F1" s="30"/>
      <c r="J1" s="35"/>
      <c r="T1" s="35"/>
      <c r="U1" s="35"/>
      <c r="V1" s="35"/>
      <c r="W1" s="35"/>
    </row>
    <row r="2" spans="1:23" s="11" customFormat="1" ht="15" x14ac:dyDescent="0.25">
      <c r="A2" s="4" t="s">
        <v>44</v>
      </c>
      <c r="B2" s="89" t="s">
        <v>4</v>
      </c>
      <c r="C2" s="7">
        <v>0.56000000000000005</v>
      </c>
      <c r="D2" s="89" t="s">
        <v>1</v>
      </c>
      <c r="E2" s="67"/>
      <c r="F2" s="80"/>
      <c r="J2" s="35"/>
      <c r="T2" s="35"/>
      <c r="U2" s="35"/>
      <c r="V2" s="35"/>
      <c r="W2" s="35"/>
    </row>
    <row r="3" spans="1:23" s="11" customFormat="1" ht="15" x14ac:dyDescent="0.25">
      <c r="A3" s="4"/>
      <c r="B3" s="89" t="s">
        <v>5</v>
      </c>
      <c r="C3" s="5">
        <f>C2*C11</f>
        <v>0.10995574287564278</v>
      </c>
      <c r="D3" s="89" t="s">
        <v>6</v>
      </c>
      <c r="E3" s="66"/>
      <c r="F3" s="80"/>
      <c r="J3" s="35"/>
      <c r="T3" s="35"/>
      <c r="U3" s="35"/>
      <c r="V3" s="35"/>
      <c r="W3" s="35"/>
    </row>
    <row r="4" spans="1:23" s="11" customFormat="1" ht="15" x14ac:dyDescent="0.25">
      <c r="A4" s="4"/>
      <c r="B4" s="89" t="s">
        <v>41</v>
      </c>
      <c r="C4" s="14">
        <v>0.155</v>
      </c>
      <c r="D4" s="89" t="s">
        <v>1</v>
      </c>
      <c r="E4" s="66"/>
      <c r="F4" s="80"/>
      <c r="J4" s="35"/>
      <c r="T4" s="35"/>
      <c r="U4" s="35"/>
      <c r="V4" s="35"/>
      <c r="W4" s="35"/>
    </row>
    <row r="5" spans="1:23" s="11" customFormat="1" ht="15" x14ac:dyDescent="0.25">
      <c r="A5" s="4"/>
      <c r="B5" s="89" t="s">
        <v>47</v>
      </c>
      <c r="C5" s="14">
        <v>0.5</v>
      </c>
      <c r="D5" s="89" t="s">
        <v>1</v>
      </c>
      <c r="E5" s="66"/>
      <c r="F5" s="80"/>
      <c r="J5" s="35"/>
      <c r="T5" s="35"/>
      <c r="U5" s="35"/>
      <c r="V5" s="35"/>
      <c r="W5" s="35"/>
    </row>
    <row r="6" spans="1:23" s="11" customFormat="1" ht="15" x14ac:dyDescent="0.25">
      <c r="A6" s="4"/>
      <c r="B6" s="11" t="s">
        <v>48</v>
      </c>
      <c r="C6" s="5">
        <f>PI()*(C5/2)^2</f>
        <v>0.19634954084936207</v>
      </c>
      <c r="D6" s="89" t="s">
        <v>2</v>
      </c>
      <c r="E6" s="66"/>
      <c r="F6" s="80"/>
      <c r="J6" s="35"/>
      <c r="T6" s="35"/>
      <c r="U6" s="35"/>
      <c r="V6" s="35"/>
      <c r="W6" s="35"/>
    </row>
    <row r="7" spans="1:23" s="11" customFormat="1" ht="15" x14ac:dyDescent="0.25">
      <c r="A7" s="4"/>
      <c r="B7" s="89" t="s">
        <v>42</v>
      </c>
      <c r="C7" s="5">
        <f>C6*C4</f>
        <v>3.0434178831651122E-2</v>
      </c>
      <c r="D7" s="89" t="s">
        <v>6</v>
      </c>
      <c r="E7" s="66"/>
      <c r="F7" s="80"/>
      <c r="J7" s="35"/>
      <c r="T7" s="35"/>
      <c r="U7" s="35"/>
      <c r="V7" s="35"/>
      <c r="W7" s="35"/>
    </row>
    <row r="8" spans="1:23" s="11" customFormat="1" ht="15" x14ac:dyDescent="0.25">
      <c r="A8" s="4"/>
      <c r="B8" s="89" t="s">
        <v>49</v>
      </c>
      <c r="C8" s="14">
        <v>0.55000000000000004</v>
      </c>
      <c r="D8" s="89" t="s">
        <v>1</v>
      </c>
      <c r="E8" s="80"/>
      <c r="F8" s="80"/>
      <c r="J8" s="35"/>
      <c r="T8" s="35"/>
      <c r="U8" s="35"/>
      <c r="V8" s="35"/>
      <c r="W8" s="35"/>
    </row>
    <row r="9" spans="1:23" s="11" customFormat="1" ht="15" x14ac:dyDescent="0.25">
      <c r="A9" s="4"/>
      <c r="B9" s="11" t="s">
        <v>50</v>
      </c>
      <c r="C9" s="5">
        <f>PI()*(C8/2)^2</f>
        <v>0.23758294442772815</v>
      </c>
      <c r="D9" s="89" t="s">
        <v>2</v>
      </c>
      <c r="E9" s="80"/>
      <c r="F9" s="80"/>
      <c r="J9" s="35"/>
      <c r="T9" s="35"/>
      <c r="U9" s="35"/>
      <c r="V9" s="35"/>
      <c r="W9" s="35"/>
    </row>
    <row r="10" spans="1:23" s="11" customFormat="1" ht="15" x14ac:dyDescent="0.25">
      <c r="A10" s="4"/>
      <c r="B10" s="89" t="s">
        <v>7</v>
      </c>
      <c r="C10" s="14">
        <v>0.5</v>
      </c>
      <c r="D10" s="89" t="s">
        <v>1</v>
      </c>
      <c r="E10" s="66"/>
      <c r="F10" s="80"/>
      <c r="J10" s="35"/>
      <c r="T10" s="35"/>
      <c r="U10" s="35"/>
      <c r="V10" s="35"/>
      <c r="W10" s="35"/>
    </row>
    <row r="11" spans="1:23" s="11" customFormat="1" ht="15" x14ac:dyDescent="0.25">
      <c r="A11" s="4"/>
      <c r="B11" s="89" t="s">
        <v>8</v>
      </c>
      <c r="C11" s="5">
        <f>((C10/2)^2)*PI()</f>
        <v>0.19634954084936207</v>
      </c>
      <c r="D11" s="89" t="s">
        <v>2</v>
      </c>
      <c r="E11" s="66"/>
      <c r="F11" s="80"/>
      <c r="J11" s="35"/>
      <c r="T11" s="35"/>
      <c r="U11" s="35"/>
      <c r="V11" s="35"/>
      <c r="W11" s="35"/>
    </row>
    <row r="12" spans="1:23" s="11" customFormat="1" ht="15" x14ac:dyDescent="0.25">
      <c r="A12" s="4"/>
      <c r="B12" s="89" t="s">
        <v>9</v>
      </c>
      <c r="C12" s="14">
        <v>0.5</v>
      </c>
      <c r="D12" s="89" t="s">
        <v>1</v>
      </c>
      <c r="E12" s="69" t="s">
        <v>10</v>
      </c>
      <c r="F12" s="81"/>
      <c r="J12" s="35"/>
      <c r="T12" s="35"/>
      <c r="U12" s="35"/>
      <c r="V12" s="35"/>
      <c r="W12" s="35"/>
    </row>
    <row r="13" spans="1:23" s="11" customFormat="1" ht="15" x14ac:dyDescent="0.25">
      <c r="A13" s="4"/>
      <c r="B13" s="89" t="s">
        <v>11</v>
      </c>
      <c r="C13" s="5">
        <f>((C12/2)^2)*PI()</f>
        <v>0.19634954084936207</v>
      </c>
      <c r="D13" s="89" t="s">
        <v>2</v>
      </c>
      <c r="E13" s="66"/>
      <c r="F13" s="80"/>
      <c r="J13" s="35"/>
      <c r="T13" s="35"/>
      <c r="U13" s="35"/>
      <c r="V13" s="35"/>
      <c r="W13" s="35"/>
    </row>
    <row r="14" spans="1:23" s="11" customFormat="1" ht="15" x14ac:dyDescent="0.25">
      <c r="A14" s="4"/>
      <c r="B14" s="89" t="s">
        <v>12</v>
      </c>
      <c r="C14" s="14">
        <v>0.26</v>
      </c>
      <c r="D14" s="89" t="s">
        <v>1</v>
      </c>
      <c r="E14" s="69" t="s">
        <v>10</v>
      </c>
      <c r="F14" s="81"/>
      <c r="J14" s="35"/>
      <c r="T14" s="35"/>
      <c r="U14" s="35"/>
      <c r="V14" s="35"/>
      <c r="W14" s="35"/>
    </row>
    <row r="15" spans="1:23" s="11" customFormat="1" ht="15" x14ac:dyDescent="0.25">
      <c r="A15" s="4"/>
      <c r="B15" s="89" t="s">
        <v>13</v>
      </c>
      <c r="C15" s="5">
        <f>((C14/2)^2)*PI()</f>
        <v>5.3092915845667513E-2</v>
      </c>
      <c r="D15" s="89" t="s">
        <v>2</v>
      </c>
      <c r="E15" s="66"/>
      <c r="F15" s="80"/>
      <c r="J15" s="35"/>
      <c r="T15" s="35"/>
      <c r="U15" s="35"/>
      <c r="V15" s="35"/>
      <c r="W15" s="35"/>
    </row>
    <row r="16" spans="1:23" s="11" customFormat="1" ht="15" x14ac:dyDescent="0.25">
      <c r="A16" s="4"/>
      <c r="B16" s="89" t="s">
        <v>14</v>
      </c>
      <c r="C16" s="14">
        <v>0.19</v>
      </c>
      <c r="D16" s="89" t="s">
        <v>1</v>
      </c>
      <c r="E16" s="66"/>
      <c r="F16" s="80"/>
      <c r="J16" s="35"/>
      <c r="T16" s="35"/>
      <c r="U16" s="35"/>
      <c r="V16" s="35"/>
      <c r="W16" s="35"/>
    </row>
    <row r="17" spans="1:23" s="11" customFormat="1" ht="15" x14ac:dyDescent="0.25">
      <c r="A17" s="4"/>
      <c r="B17" s="89" t="s">
        <v>15</v>
      </c>
      <c r="C17" s="5">
        <f>((C16/2)^2)*PI()</f>
        <v>2.8352873698647883E-2</v>
      </c>
      <c r="D17" s="89" t="s">
        <v>2</v>
      </c>
      <c r="E17" s="68"/>
      <c r="F17" s="80"/>
      <c r="J17" s="35"/>
      <c r="T17" s="35"/>
      <c r="U17" s="35"/>
      <c r="V17" s="35"/>
      <c r="W17" s="35"/>
    </row>
    <row r="18" spans="1:23" s="11" customFormat="1" ht="15" x14ac:dyDescent="0.25">
      <c r="A18" s="3" t="s">
        <v>16</v>
      </c>
      <c r="B18" s="24" t="s">
        <v>18</v>
      </c>
      <c r="C18" s="25">
        <v>0.7</v>
      </c>
      <c r="D18" s="21" t="s">
        <v>1</v>
      </c>
      <c r="E18" s="67" t="s">
        <v>19</v>
      </c>
      <c r="F18" s="80"/>
      <c r="J18" s="35"/>
      <c r="T18" s="35"/>
      <c r="U18" s="35"/>
      <c r="V18" s="35"/>
      <c r="W18" s="35"/>
    </row>
    <row r="19" spans="1:23" s="11" customFormat="1" ht="15" x14ac:dyDescent="0.25">
      <c r="A19" s="4"/>
      <c r="B19" s="15" t="s">
        <v>20</v>
      </c>
      <c r="C19" s="7">
        <v>9</v>
      </c>
      <c r="D19" s="5" t="s">
        <v>17</v>
      </c>
      <c r="E19" s="70" t="s">
        <v>19</v>
      </c>
      <c r="F19" s="79"/>
      <c r="J19" s="35"/>
      <c r="T19" s="35"/>
      <c r="U19" s="35"/>
      <c r="V19" s="35"/>
      <c r="W19" s="35"/>
    </row>
    <row r="20" spans="1:23" s="11" customFormat="1" ht="15" x14ac:dyDescent="0.25">
      <c r="A20" s="4"/>
      <c r="B20" s="15" t="s">
        <v>21</v>
      </c>
      <c r="C20" s="16">
        <v>0.52500000000000002</v>
      </c>
      <c r="D20" s="5" t="s">
        <v>1</v>
      </c>
      <c r="E20" s="71" t="s">
        <v>46</v>
      </c>
      <c r="F20" s="79"/>
      <c r="J20" s="35"/>
      <c r="T20" s="35"/>
      <c r="U20" s="35"/>
      <c r="V20" s="35"/>
      <c r="W20" s="35"/>
    </row>
    <row r="21" spans="1:23" s="11" customFormat="1" ht="15" x14ac:dyDescent="0.25">
      <c r="A21" s="4"/>
      <c r="B21" s="15" t="s">
        <v>52</v>
      </c>
      <c r="C21" s="6">
        <f>(C18-C20)*C19</f>
        <v>1.5749999999999993</v>
      </c>
      <c r="D21" s="5" t="s">
        <v>22</v>
      </c>
      <c r="E21" s="70"/>
      <c r="F21" s="79"/>
      <c r="J21" s="35"/>
      <c r="T21" s="35"/>
      <c r="U21" s="35"/>
      <c r="V21" s="35"/>
      <c r="W21" s="35"/>
    </row>
    <row r="22" spans="1:23" s="11" customFormat="1" ht="15" x14ac:dyDescent="0.25">
      <c r="A22" s="4"/>
      <c r="B22" s="15" t="s">
        <v>21</v>
      </c>
      <c r="C22" s="6">
        <f>C20+0.06</f>
        <v>0.58499999999999996</v>
      </c>
      <c r="D22" s="5" t="s">
        <v>1</v>
      </c>
      <c r="E22" s="70"/>
      <c r="F22" s="79"/>
      <c r="J22" s="35"/>
      <c r="R22" s="11" t="s">
        <v>163</v>
      </c>
      <c r="T22" s="35"/>
      <c r="U22" s="35"/>
      <c r="V22" s="35"/>
      <c r="W22" s="35"/>
    </row>
    <row r="23" spans="1:23" s="11" customFormat="1" ht="15" x14ac:dyDescent="0.25">
      <c r="A23" s="4"/>
      <c r="B23" s="15" t="s">
        <v>51</v>
      </c>
      <c r="C23" s="89">
        <f>(C18-C22)*C19</f>
        <v>1.0349999999999999</v>
      </c>
      <c r="D23" s="5" t="s">
        <v>22</v>
      </c>
      <c r="E23" s="70"/>
      <c r="F23" s="79"/>
      <c r="J23" s="35"/>
      <c r="T23" s="35"/>
      <c r="U23" s="35"/>
      <c r="V23" s="35"/>
      <c r="W23" s="35"/>
    </row>
    <row r="24" spans="1:23" s="11" customFormat="1" ht="15" x14ac:dyDescent="0.25">
      <c r="A24" s="4"/>
      <c r="B24" s="8" t="s">
        <v>23</v>
      </c>
      <c r="C24" s="7">
        <v>1.75</v>
      </c>
      <c r="D24" s="5" t="s">
        <v>1</v>
      </c>
      <c r="E24" s="70"/>
      <c r="F24" s="79"/>
      <c r="J24" s="35"/>
      <c r="T24" s="35"/>
      <c r="U24" s="35"/>
      <c r="V24" s="35"/>
      <c r="W24" s="35"/>
    </row>
    <row r="25" spans="1:23" s="11" customFormat="1" ht="15" x14ac:dyDescent="0.25">
      <c r="A25" s="4"/>
      <c r="B25" s="8" t="s">
        <v>119</v>
      </c>
      <c r="C25" s="7">
        <v>0.03</v>
      </c>
      <c r="D25" s="5" t="s">
        <v>1</v>
      </c>
      <c r="E25" s="79"/>
      <c r="F25" s="79"/>
      <c r="J25" s="35"/>
      <c r="T25" s="35"/>
      <c r="U25" s="35"/>
      <c r="V25" s="35"/>
      <c r="W25" s="35"/>
    </row>
    <row r="26" spans="1:23" s="11" customFormat="1" ht="15" x14ac:dyDescent="0.25">
      <c r="A26" s="4"/>
      <c r="B26" s="8" t="s">
        <v>24</v>
      </c>
      <c r="C26" s="16">
        <f>C25+C24</f>
        <v>1.78</v>
      </c>
      <c r="D26" s="5" t="s">
        <v>1</v>
      </c>
      <c r="E26" s="70"/>
      <c r="F26" s="79"/>
      <c r="J26" s="35"/>
      <c r="T26" s="35"/>
      <c r="U26" s="35"/>
      <c r="V26" s="35"/>
      <c r="W26" s="35"/>
    </row>
    <row r="27" spans="1:23" s="11" customFormat="1" ht="15" x14ac:dyDescent="0.25">
      <c r="A27" s="3" t="s">
        <v>28</v>
      </c>
      <c r="B27" s="21" t="s">
        <v>29</v>
      </c>
      <c r="C27" s="22">
        <v>50</v>
      </c>
      <c r="D27" s="23" t="s">
        <v>30</v>
      </c>
      <c r="E27" s="67"/>
      <c r="F27" s="80"/>
      <c r="J27" s="35"/>
      <c r="T27" s="35"/>
      <c r="U27" s="35"/>
      <c r="V27" s="35"/>
      <c r="W27" s="35"/>
    </row>
    <row r="28" spans="1:23" s="11" customFormat="1" ht="15" x14ac:dyDescent="0.25">
      <c r="A28" s="10"/>
      <c r="B28" s="38" t="s">
        <v>31</v>
      </c>
      <c r="C28" s="19">
        <v>0</v>
      </c>
      <c r="D28" s="20" t="s">
        <v>22</v>
      </c>
      <c r="E28" s="72" t="s">
        <v>45</v>
      </c>
      <c r="F28" s="77"/>
      <c r="J28" s="35"/>
      <c r="T28" s="35"/>
      <c r="U28" s="35"/>
      <c r="V28" s="35"/>
      <c r="W28" s="35"/>
    </row>
    <row r="29" spans="1:23" s="11" customFormat="1" ht="15" x14ac:dyDescent="0.25">
      <c r="A29" s="26" t="s">
        <v>79</v>
      </c>
      <c r="B29" s="51" t="s">
        <v>80</v>
      </c>
      <c r="C29" s="16">
        <f>'pedal model'!J21</f>
        <v>0.5</v>
      </c>
      <c r="D29" s="89" t="s">
        <v>1</v>
      </c>
      <c r="E29" s="77"/>
      <c r="F29" s="77"/>
      <c r="J29" s="35"/>
      <c r="T29" s="35"/>
      <c r="U29" s="35"/>
      <c r="V29" s="35"/>
      <c r="W29" s="35"/>
    </row>
    <row r="30" spans="1:23" s="11" customFormat="1" ht="15" x14ac:dyDescent="0.25">
      <c r="A30" s="26"/>
      <c r="B30" s="51" t="s">
        <v>81</v>
      </c>
      <c r="C30" s="5">
        <f>'pedal model'!J22</f>
        <v>0.19634954084936207</v>
      </c>
      <c r="D30" s="89" t="s">
        <v>2</v>
      </c>
      <c r="E30" s="77"/>
      <c r="F30" s="77"/>
      <c r="J30" s="35"/>
      <c r="T30" s="35"/>
      <c r="U30" s="35"/>
      <c r="V30" s="35"/>
      <c r="W30" s="35"/>
    </row>
    <row r="31" spans="1:23" s="11" customFormat="1" ht="15" x14ac:dyDescent="0.25">
      <c r="A31" s="26"/>
      <c r="B31" s="51" t="s">
        <v>56</v>
      </c>
      <c r="C31" s="7">
        <f>'pedal model'!B3</f>
        <v>11.5</v>
      </c>
      <c r="D31" s="89" t="s">
        <v>1</v>
      </c>
      <c r="E31" s="77"/>
      <c r="F31" s="77"/>
      <c r="J31" s="35"/>
      <c r="T31" s="35"/>
      <c r="U31" s="35"/>
      <c r="V31" s="35"/>
      <c r="W31" s="35"/>
    </row>
    <row r="32" spans="1:23" s="11" customFormat="1" ht="15" x14ac:dyDescent="0.25">
      <c r="A32" s="26"/>
      <c r="B32" s="51" t="s">
        <v>82</v>
      </c>
      <c r="C32" s="16">
        <f>'pedal model'!B15</f>
        <v>2</v>
      </c>
      <c r="D32" s="89" t="s">
        <v>1</v>
      </c>
      <c r="E32" s="77"/>
      <c r="F32" s="77"/>
      <c r="G32" s="31"/>
      <c r="H32" s="31"/>
      <c r="I32" s="31"/>
      <c r="J32" s="61"/>
      <c r="K32" s="31"/>
      <c r="T32" s="35"/>
      <c r="U32" s="35"/>
      <c r="V32" s="35"/>
      <c r="W32" s="35"/>
    </row>
    <row r="33" spans="1:31" s="11" customFormat="1" ht="15" x14ac:dyDescent="0.25">
      <c r="A33" s="26"/>
      <c r="B33" s="51" t="s">
        <v>86</v>
      </c>
      <c r="C33" s="7">
        <v>5</v>
      </c>
      <c r="D33" s="89" t="s">
        <v>1</v>
      </c>
      <c r="E33" s="77"/>
      <c r="F33" s="77"/>
      <c r="G33" s="31"/>
      <c r="H33" s="31"/>
      <c r="I33" s="31"/>
      <c r="J33" s="61"/>
      <c r="K33" s="31"/>
      <c r="T33" s="35"/>
      <c r="U33" s="35"/>
      <c r="V33" s="35"/>
      <c r="W33" s="35"/>
    </row>
    <row r="34" spans="1:31" s="11" customFormat="1" ht="15" x14ac:dyDescent="0.25">
      <c r="A34" s="21" t="s">
        <v>70</v>
      </c>
      <c r="B34" s="87" t="s">
        <v>100</v>
      </c>
      <c r="C34" s="58">
        <v>10.9</v>
      </c>
      <c r="D34" s="21" t="s">
        <v>1</v>
      </c>
      <c r="E34" s="52"/>
      <c r="F34" s="77"/>
      <c r="G34" s="31"/>
      <c r="H34" s="31"/>
      <c r="I34" s="31"/>
      <c r="J34" s="61"/>
      <c r="K34" s="31"/>
      <c r="T34" s="35"/>
      <c r="U34" s="35"/>
      <c r="V34" s="35"/>
      <c r="W34" s="35"/>
    </row>
    <row r="35" spans="1:31" s="11" customFormat="1" ht="15" x14ac:dyDescent="0.25">
      <c r="A35" s="26"/>
      <c r="B35" s="51" t="s">
        <v>100</v>
      </c>
      <c r="C35" s="5">
        <f>C34/12</f>
        <v>0.90833333333333333</v>
      </c>
      <c r="D35" s="89" t="s">
        <v>99</v>
      </c>
      <c r="E35" s="77"/>
      <c r="F35" s="77"/>
      <c r="G35" s="31"/>
      <c r="H35" s="31"/>
      <c r="I35" s="31"/>
      <c r="J35" s="61"/>
      <c r="K35" s="31"/>
      <c r="T35" s="35"/>
      <c r="U35" s="35"/>
      <c r="V35" s="35"/>
      <c r="W35" s="35"/>
    </row>
    <row r="36" spans="1:31" s="11" customFormat="1" ht="15" x14ac:dyDescent="0.25">
      <c r="A36" s="26"/>
      <c r="B36" s="51" t="s">
        <v>98</v>
      </c>
      <c r="C36" s="89">
        <v>500</v>
      </c>
      <c r="D36" s="89" t="s">
        <v>22</v>
      </c>
      <c r="E36" s="77"/>
      <c r="F36" s="77"/>
      <c r="G36" s="31"/>
      <c r="H36" s="31"/>
      <c r="I36" s="31"/>
      <c r="J36" s="61"/>
      <c r="K36" s="31"/>
      <c r="T36" s="35"/>
      <c r="U36" s="35"/>
      <c r="V36" s="35"/>
      <c r="W36" s="35"/>
    </row>
    <row r="37" spans="1:31" s="11" customFormat="1" ht="15" x14ac:dyDescent="0.25">
      <c r="A37" s="26"/>
      <c r="B37" s="51" t="s">
        <v>94</v>
      </c>
      <c r="C37" s="89">
        <v>2.3770000000000002E-3</v>
      </c>
      <c r="D37" s="89" t="s">
        <v>93</v>
      </c>
      <c r="E37" s="77"/>
      <c r="F37" s="77"/>
      <c r="J37" s="35"/>
      <c r="T37" s="35"/>
      <c r="U37" s="35"/>
      <c r="V37" s="35"/>
      <c r="W37" s="35"/>
    </row>
    <row r="38" spans="1:31" s="11" customFormat="1" ht="15" x14ac:dyDescent="0.25">
      <c r="A38" s="26"/>
      <c r="B38" s="88" t="s">
        <v>92</v>
      </c>
      <c r="C38" s="57">
        <v>2.0479999999999999E-3</v>
      </c>
      <c r="D38" s="89" t="s">
        <v>91</v>
      </c>
      <c r="E38" s="77"/>
      <c r="F38" s="77"/>
      <c r="J38" s="35"/>
      <c r="T38" s="35"/>
      <c r="U38" s="35"/>
      <c r="V38" s="35"/>
      <c r="W38" s="35"/>
    </row>
    <row r="39" spans="1:31" s="11" customFormat="1" ht="15" x14ac:dyDescent="0.25">
      <c r="A39" s="4"/>
      <c r="B39" s="38" t="s">
        <v>97</v>
      </c>
      <c r="C39" s="10">
        <v>9.25</v>
      </c>
      <c r="D39" s="10" t="s">
        <v>96</v>
      </c>
      <c r="E39" s="78"/>
      <c r="F39" s="77"/>
      <c r="J39" s="35"/>
      <c r="T39" s="35"/>
      <c r="U39" s="35"/>
      <c r="V39" s="35"/>
      <c r="W39" s="35"/>
    </row>
    <row r="40" spans="1:31" s="11" customFormat="1" ht="15" x14ac:dyDescent="0.25">
      <c r="A40" s="3"/>
      <c r="B40" s="125" t="s">
        <v>162</v>
      </c>
      <c r="C40" s="104">
        <v>110</v>
      </c>
      <c r="D40" s="18" t="s">
        <v>30</v>
      </c>
      <c r="E40" s="77"/>
      <c r="F40" s="77"/>
      <c r="J40" s="35"/>
      <c r="T40" s="35"/>
      <c r="U40" s="35"/>
      <c r="V40" s="35"/>
      <c r="W40" s="35"/>
    </row>
    <row r="41" spans="1:31" s="11" customFormat="1" ht="15" x14ac:dyDescent="0.25">
      <c r="A41" s="4"/>
      <c r="B41" s="126"/>
      <c r="C41" s="90">
        <f>[2]!linear_intp_2col(I65:I77,N65:N77,C40)</f>
        <v>5.2219566613659447</v>
      </c>
      <c r="D41" s="18" t="s">
        <v>61</v>
      </c>
      <c r="E41" s="77"/>
      <c r="F41" s="77"/>
      <c r="J41" s="35"/>
      <c r="T41" s="35"/>
      <c r="U41" s="35"/>
      <c r="V41" s="35"/>
      <c r="W41" s="35"/>
    </row>
    <row r="42" spans="1:31" s="11" customFormat="1" ht="15" x14ac:dyDescent="0.25">
      <c r="A42" s="4"/>
      <c r="B42" s="126"/>
      <c r="C42" s="91">
        <f>[2]!linear_intp_2col(N65:N77,U65:U77,C41)</f>
        <v>24.202632541596962</v>
      </c>
      <c r="D42" s="11" t="s">
        <v>22</v>
      </c>
      <c r="F42" s="77"/>
      <c r="J42" s="35"/>
      <c r="T42" s="35"/>
      <c r="U42" s="35"/>
      <c r="V42" s="35"/>
      <c r="W42" s="35"/>
      <c r="X42" s="35"/>
      <c r="Y42" s="35"/>
    </row>
    <row r="43" spans="1:31" s="11" customFormat="1" ht="15" x14ac:dyDescent="0.25">
      <c r="A43" s="4"/>
      <c r="B43" s="127" t="s">
        <v>161</v>
      </c>
      <c r="C43" s="105">
        <v>51</v>
      </c>
      <c r="D43" s="11" t="s">
        <v>30</v>
      </c>
      <c r="F43" s="77"/>
      <c r="J43" s="35"/>
      <c r="T43" s="35"/>
      <c r="U43" s="35"/>
      <c r="V43" s="35"/>
      <c r="W43" s="35"/>
      <c r="X43" s="89"/>
      <c r="Y43" s="89"/>
      <c r="Z43" s="89"/>
      <c r="AA43" s="33"/>
      <c r="AB43" s="33"/>
      <c r="AC43" s="33"/>
      <c r="AD43" s="33"/>
      <c r="AE43" s="33"/>
    </row>
    <row r="44" spans="1:31" s="11" customFormat="1" ht="15" x14ac:dyDescent="0.25">
      <c r="A44" s="4"/>
      <c r="B44" s="127"/>
      <c r="C44" s="91">
        <f>[2]!linear_intp_2col(H65:H77,N65:N77,C43)</f>
        <v>4.0673352057494823</v>
      </c>
      <c r="D44" s="11" t="s">
        <v>61</v>
      </c>
      <c r="F44" s="77"/>
      <c r="J44" s="35"/>
      <c r="T44" s="35"/>
      <c r="U44" s="35"/>
      <c r="V44" s="35"/>
      <c r="W44" s="35"/>
      <c r="X44" s="89"/>
      <c r="Y44" s="89"/>
      <c r="Z44" s="89"/>
      <c r="AA44" s="33"/>
      <c r="AB44" s="33"/>
      <c r="AC44" s="33"/>
      <c r="AD44" s="33"/>
      <c r="AE44" s="33"/>
    </row>
    <row r="45" spans="1:31" s="11" customFormat="1" ht="15" x14ac:dyDescent="0.25">
      <c r="A45" s="4"/>
      <c r="B45" s="127"/>
      <c r="C45" s="91">
        <f>[2]!linear_intp_2col(N65:N77,U65:U77,C44)</f>
        <v>12.321426890069686</v>
      </c>
      <c r="D45" s="11" t="s">
        <v>22</v>
      </c>
      <c r="F45" s="77"/>
      <c r="J45" s="35"/>
      <c r="T45" s="35"/>
      <c r="U45" s="35"/>
      <c r="V45" s="35"/>
      <c r="W45" s="35"/>
      <c r="X45" s="89"/>
      <c r="Y45" s="89"/>
      <c r="Z45" s="89"/>
      <c r="AA45" s="33"/>
      <c r="AB45" s="33"/>
      <c r="AC45" s="33"/>
      <c r="AD45" s="33"/>
      <c r="AE45" s="33"/>
    </row>
    <row r="46" spans="1:31" s="11" customFormat="1" ht="15" x14ac:dyDescent="0.25">
      <c r="A46" s="4"/>
      <c r="B46" s="127" t="s">
        <v>202</v>
      </c>
      <c r="C46" s="106">
        <f>'pedal model'!B7</f>
        <v>8.5000000000000006E-2</v>
      </c>
      <c r="D46" s="11" t="s">
        <v>125</v>
      </c>
      <c r="E46" s="11" t="s">
        <v>1</v>
      </c>
      <c r="F46" s="77"/>
      <c r="J46" s="35"/>
      <c r="T46" s="35"/>
      <c r="U46" s="35"/>
      <c r="V46" s="35"/>
      <c r="W46" s="35"/>
      <c r="X46" s="89"/>
      <c r="Y46" s="89"/>
      <c r="Z46" s="89"/>
      <c r="AA46" s="33"/>
      <c r="AB46" s="33"/>
      <c r="AC46" s="33"/>
      <c r="AD46" s="33"/>
      <c r="AE46" s="33"/>
    </row>
    <row r="47" spans="1:31" s="11" customFormat="1" ht="15" x14ac:dyDescent="0.25">
      <c r="A47" s="4"/>
      <c r="B47" s="127"/>
      <c r="C47" s="91">
        <f>[2]!linear_intp_2col(L65:L76,N65:N76,C46)</f>
        <v>2.4879322378689017</v>
      </c>
      <c r="D47" s="11" t="s">
        <v>139</v>
      </c>
      <c r="F47" s="77"/>
      <c r="J47" s="35"/>
      <c r="T47" s="35"/>
      <c r="U47" s="35"/>
      <c r="V47" s="35"/>
      <c r="W47" s="35"/>
      <c r="X47" s="89"/>
      <c r="Y47" s="89"/>
      <c r="Z47" s="89"/>
      <c r="AA47" s="33"/>
      <c r="AB47" s="33"/>
      <c r="AC47" s="33"/>
      <c r="AD47" s="33"/>
      <c r="AE47" s="33"/>
    </row>
    <row r="48" spans="1:31" s="11" customFormat="1" ht="15" x14ac:dyDescent="0.25">
      <c r="A48" s="4"/>
      <c r="B48" s="127"/>
      <c r="C48" s="91">
        <f>[2]!linear_intp_2col(N65:N76,U65:U76,C47)</f>
        <v>6.0593607293378255</v>
      </c>
      <c r="D48" s="11" t="s">
        <v>199</v>
      </c>
      <c r="F48" s="77"/>
      <c r="J48" s="35"/>
      <c r="T48" s="35"/>
      <c r="U48" s="35"/>
      <c r="V48" s="35"/>
      <c r="W48" s="35"/>
      <c r="X48" s="89"/>
      <c r="Y48" s="89"/>
      <c r="Z48" s="89"/>
      <c r="AA48" s="33"/>
      <c r="AB48" s="33"/>
      <c r="AC48" s="33"/>
      <c r="AD48" s="33"/>
      <c r="AE48" s="33"/>
    </row>
    <row r="49" spans="1:42" s="11" customFormat="1" ht="15" x14ac:dyDescent="0.25">
      <c r="A49" s="4"/>
      <c r="B49" s="127"/>
      <c r="C49" s="45">
        <f>[2]!linear_intp_2col(L65:L76,K65:K76,C46)</f>
        <v>1.6689710972195779E-2</v>
      </c>
      <c r="D49" s="11" t="s">
        <v>198</v>
      </c>
      <c r="F49" s="77"/>
      <c r="J49" s="35"/>
      <c r="T49" s="35"/>
      <c r="U49" s="35"/>
      <c r="V49" s="35"/>
      <c r="W49" s="35"/>
      <c r="X49" s="89"/>
      <c r="Y49" s="89"/>
      <c r="Z49" s="89"/>
      <c r="AA49" s="33"/>
      <c r="AB49" s="33"/>
      <c r="AC49" s="33"/>
      <c r="AD49" s="33"/>
      <c r="AE49" s="33"/>
    </row>
    <row r="50" spans="1:42" s="11" customFormat="1" ht="15" x14ac:dyDescent="0.25">
      <c r="A50" s="4"/>
      <c r="B50" s="127" t="s">
        <v>197</v>
      </c>
      <c r="C50" s="106">
        <f>'pedal model'!B6</f>
        <v>3.0000000000000001E-3</v>
      </c>
      <c r="D50" s="11" t="s">
        <v>203</v>
      </c>
      <c r="F50" s="77"/>
      <c r="J50" s="35"/>
      <c r="T50" s="35"/>
      <c r="U50" s="35"/>
      <c r="V50" s="35"/>
      <c r="W50" s="89"/>
      <c r="X50" s="89"/>
      <c r="Y50" s="89"/>
      <c r="Z50" s="33"/>
      <c r="AA50" s="33"/>
      <c r="AB50" s="33"/>
      <c r="AC50" s="33"/>
      <c r="AD50" s="33"/>
    </row>
    <row r="51" spans="1:42" s="11" customFormat="1" ht="15" x14ac:dyDescent="0.25">
      <c r="A51" s="4"/>
      <c r="B51" s="127"/>
      <c r="C51" s="106">
        <f>C50+C49</f>
        <v>1.9689710972195778E-2</v>
      </c>
      <c r="D51" s="11" t="s">
        <v>198</v>
      </c>
      <c r="F51" s="77"/>
      <c r="J51" s="35"/>
      <c r="T51" s="35"/>
      <c r="U51" s="35"/>
      <c r="V51" s="35"/>
      <c r="W51" s="89"/>
      <c r="X51" s="89"/>
      <c r="Y51" s="89"/>
      <c r="Z51" s="33"/>
      <c r="AA51" s="33"/>
      <c r="AB51" s="33"/>
      <c r="AC51" s="33"/>
      <c r="AD51" s="33"/>
    </row>
    <row r="52" spans="1:42" s="11" customFormat="1" ht="15" x14ac:dyDescent="0.25">
      <c r="A52" s="4"/>
      <c r="B52" s="127"/>
      <c r="C52" s="91">
        <f>[2]!linear_intp_2col(K65:K76,N65:N76,C51)</f>
        <v>2.9351417027925915</v>
      </c>
      <c r="D52" s="11" t="s">
        <v>139</v>
      </c>
      <c r="F52" s="77"/>
      <c r="J52" s="35"/>
      <c r="T52" s="35"/>
      <c r="U52" s="35"/>
      <c r="V52" s="35"/>
      <c r="W52" s="89"/>
      <c r="X52" s="89"/>
      <c r="Y52" s="89"/>
      <c r="Z52" s="33"/>
      <c r="AA52" s="33"/>
      <c r="AB52" s="33"/>
      <c r="AC52" s="33"/>
      <c r="AD52" s="33"/>
    </row>
    <row r="53" spans="1:42" s="11" customFormat="1" ht="15" x14ac:dyDescent="0.25">
      <c r="A53" s="4"/>
      <c r="B53" s="127"/>
      <c r="C53" s="91">
        <f>[2]!linear_intp_2col(K65:K76,U65:U76,C51)</f>
        <v>6.726038370907494</v>
      </c>
      <c r="D53" s="11" t="s">
        <v>199</v>
      </c>
      <c r="F53" s="77"/>
      <c r="J53" s="35"/>
      <c r="T53" s="35"/>
      <c r="U53" s="35"/>
    </row>
    <row r="54" spans="1:42" s="11" customFormat="1" ht="15" x14ac:dyDescent="0.25">
      <c r="A54" s="26"/>
      <c r="B54" s="113"/>
      <c r="F54" s="77"/>
      <c r="J54" s="35"/>
      <c r="T54" s="35"/>
      <c r="U54" s="35"/>
      <c r="V54" s="35"/>
      <c r="W54" s="89" t="s">
        <v>62</v>
      </c>
      <c r="X54" s="89" t="s">
        <v>63</v>
      </c>
      <c r="Y54" s="89"/>
      <c r="Z54" s="89"/>
      <c r="AA54" s="15">
        <v>17000</v>
      </c>
      <c r="AB54" s="89"/>
      <c r="AC54" s="89"/>
      <c r="AD54" s="15">
        <v>13000</v>
      </c>
      <c r="AE54" s="89"/>
      <c r="AF54" s="89"/>
      <c r="AG54" s="15">
        <v>17000</v>
      </c>
      <c r="AH54" s="89"/>
      <c r="AI54" s="89"/>
      <c r="AJ54" s="15">
        <v>13000</v>
      </c>
      <c r="AK54" s="89"/>
      <c r="AL54" s="89"/>
      <c r="AM54" s="15">
        <v>17000</v>
      </c>
      <c r="AN54" s="89"/>
      <c r="AO54" s="89"/>
      <c r="AP54" s="15">
        <v>13000</v>
      </c>
    </row>
    <row r="55" spans="1:42" s="11" customFormat="1" ht="15" x14ac:dyDescent="0.25">
      <c r="J55" s="35"/>
      <c r="V55" s="35"/>
      <c r="W55" s="89" t="s">
        <v>62</v>
      </c>
      <c r="X55" s="89" t="s">
        <v>64</v>
      </c>
      <c r="Y55" s="89"/>
      <c r="Z55" s="89"/>
      <c r="AA55" s="39">
        <f>AA54/32.2</f>
        <v>527.9503105590062</v>
      </c>
      <c r="AB55" s="89"/>
      <c r="AC55" s="89"/>
      <c r="AD55" s="39">
        <f>AD54/32.2</f>
        <v>403.72670807453414</v>
      </c>
      <c r="AE55" s="89"/>
      <c r="AF55" s="89"/>
      <c r="AG55" s="39">
        <f>AG54/32.2</f>
        <v>527.9503105590062</v>
      </c>
      <c r="AH55" s="89"/>
      <c r="AI55" s="89"/>
      <c r="AJ55" s="39">
        <f>AJ54/32.2</f>
        <v>403.72670807453414</v>
      </c>
      <c r="AK55" s="89"/>
      <c r="AL55" s="89"/>
      <c r="AM55" s="39">
        <f>AM54/32.2</f>
        <v>527.9503105590062</v>
      </c>
      <c r="AN55" s="89"/>
      <c r="AO55" s="89"/>
      <c r="AP55" s="39">
        <f>AP54/32.2</f>
        <v>403.72670807453414</v>
      </c>
    </row>
    <row r="56" spans="1:42" s="11" customFormat="1" ht="15" x14ac:dyDescent="0.25">
      <c r="E56" s="33" t="s">
        <v>25</v>
      </c>
      <c r="F56" s="94">
        <v>42.2</v>
      </c>
      <c r="G56" s="5" t="s">
        <v>26</v>
      </c>
      <c r="J56" s="35"/>
      <c r="R56" s="33" t="s">
        <v>83</v>
      </c>
      <c r="S56" s="39">
        <f>S57*S58</f>
        <v>-84</v>
      </c>
      <c r="T56" s="89" t="s">
        <v>87</v>
      </c>
      <c r="V56" s="33"/>
      <c r="W56" s="89" t="s">
        <v>65</v>
      </c>
      <c r="X56" s="89" t="s">
        <v>66</v>
      </c>
      <c r="Y56" s="89"/>
      <c r="Z56" s="89"/>
      <c r="AA56" s="15">
        <v>0</v>
      </c>
      <c r="AB56" s="89"/>
      <c r="AC56" s="89"/>
      <c r="AD56" s="89">
        <v>150</v>
      </c>
      <c r="AE56" s="89"/>
      <c r="AF56" s="89"/>
      <c r="AG56" s="89">
        <v>150</v>
      </c>
      <c r="AH56" s="89"/>
      <c r="AI56" s="89"/>
      <c r="AJ56" s="89">
        <v>0</v>
      </c>
      <c r="AK56" s="89"/>
      <c r="AL56" s="89"/>
      <c r="AM56" s="89">
        <v>75</v>
      </c>
      <c r="AN56" s="89"/>
      <c r="AO56" s="89"/>
      <c r="AP56" s="89">
        <v>0</v>
      </c>
    </row>
    <row r="57" spans="1:42" s="11" customFormat="1" ht="15" x14ac:dyDescent="0.25">
      <c r="E57" s="33" t="s">
        <v>27</v>
      </c>
      <c r="F57" s="89">
        <f>($C$24-$C$26)*$F56</f>
        <v>-1.2660000000000011</v>
      </c>
      <c r="G57" s="5" t="s">
        <v>22</v>
      </c>
      <c r="J57" s="35"/>
      <c r="P57" s="11">
        <v>0.2</v>
      </c>
      <c r="R57" s="33" t="s">
        <v>84</v>
      </c>
      <c r="S57" s="112">
        <v>-0.12</v>
      </c>
      <c r="T57" s="89" t="s">
        <v>1</v>
      </c>
      <c r="V57" s="33"/>
      <c r="W57" s="89" t="s">
        <v>65</v>
      </c>
      <c r="X57" s="89" t="s">
        <v>67</v>
      </c>
      <c r="Y57" s="89"/>
      <c r="Z57" s="89"/>
      <c r="AA57" s="39">
        <f>AA56*1.68781/SQRT($C$38/$C$37)</f>
        <v>0</v>
      </c>
      <c r="AB57" s="89"/>
      <c r="AC57" s="89"/>
      <c r="AD57" s="39">
        <f>AD56*1.68781/SQRT($C$38/$C$37)</f>
        <v>272.74979286834611</v>
      </c>
      <c r="AE57" s="89"/>
      <c r="AF57" s="89"/>
      <c r="AG57" s="39">
        <f>AG56*1.68781/SQRT($C$38/$C$37)</f>
        <v>272.74979286834611</v>
      </c>
      <c r="AH57" s="89"/>
      <c r="AI57" s="89"/>
      <c r="AJ57" s="39">
        <f>AJ56*1.68781/SQRT($C$38/$C$37)</f>
        <v>0</v>
      </c>
      <c r="AK57" s="89"/>
      <c r="AL57" s="89"/>
      <c r="AM57" s="39">
        <f>AM56*1.68781/SQRT($C$38/$C$37)</f>
        <v>136.37489643417305</v>
      </c>
      <c r="AN57" s="89"/>
      <c r="AO57" s="89"/>
      <c r="AP57" s="39">
        <f>AP56*1.68781/SQRT($C$38/$C$37)</f>
        <v>0</v>
      </c>
    </row>
    <row r="58" spans="1:42" s="11" customFormat="1" ht="15" x14ac:dyDescent="0.25">
      <c r="E58" s="33"/>
      <c r="F58" s="33"/>
      <c r="G58" s="34"/>
      <c r="H58" s="35"/>
      <c r="I58" s="35"/>
      <c r="J58" s="35"/>
      <c r="P58" s="11">
        <v>285</v>
      </c>
      <c r="R58" s="33" t="s">
        <v>85</v>
      </c>
      <c r="S58" s="92">
        <v>700</v>
      </c>
      <c r="T58" s="89" t="s">
        <v>17</v>
      </c>
      <c r="V58" s="33"/>
      <c r="W58" s="89" t="s">
        <v>68</v>
      </c>
      <c r="X58" s="89" t="s">
        <v>22</v>
      </c>
      <c r="Y58" s="89"/>
      <c r="Z58" s="89"/>
      <c r="AA58" s="40">
        <f>0.5*$C$39*$C$38*AA57^2</f>
        <v>0</v>
      </c>
      <c r="AB58" s="89"/>
      <c r="AC58" s="89"/>
      <c r="AD58" s="40">
        <f>0.5*$C$39*$C$38*AD57^2</f>
        <v>704.64528175612179</v>
      </c>
      <c r="AE58" s="89"/>
      <c r="AF58" s="89"/>
      <c r="AG58" s="40">
        <f>0.5*$C$39*$C$38*AG57^2</f>
        <v>704.64528175612179</v>
      </c>
      <c r="AH58" s="89"/>
      <c r="AI58" s="89"/>
      <c r="AJ58" s="40">
        <f>0.5*$C$39*$C$38*AJ57^2</f>
        <v>0</v>
      </c>
      <c r="AK58" s="89"/>
      <c r="AL58" s="89"/>
      <c r="AM58" s="40">
        <f>0.5*$C$39*$C$38*AM57^2</f>
        <v>176.16132043903045</v>
      </c>
      <c r="AN58" s="89"/>
      <c r="AO58" s="89"/>
      <c r="AP58" s="40">
        <f>0.5*$C$39*$C$38*AP57^2</f>
        <v>0</v>
      </c>
    </row>
    <row r="59" spans="1:42" s="11" customFormat="1" ht="15" x14ac:dyDescent="0.25">
      <c r="E59" s="18" t="s">
        <v>39</v>
      </c>
      <c r="F59" s="5">
        <f>'pedal model'!J24</f>
        <v>1.9689710972195778E-2</v>
      </c>
      <c r="G59" s="89" t="s">
        <v>6</v>
      </c>
      <c r="J59" s="35"/>
      <c r="V59" s="35"/>
      <c r="W59" s="89" t="s">
        <v>69</v>
      </c>
      <c r="X59" s="89" t="s">
        <v>22</v>
      </c>
      <c r="Y59" s="89"/>
      <c r="Z59" s="89"/>
      <c r="AA59" s="39">
        <f>SIN(RADIANS($C35))*AA54</f>
        <v>269.49663620924895</v>
      </c>
      <c r="AB59" s="89"/>
      <c r="AC59" s="89"/>
      <c r="AD59" s="39">
        <f>SIN(RADIANS($C35))*AD54</f>
        <v>206.0856629835433</v>
      </c>
      <c r="AE59" s="89"/>
      <c r="AF59" s="89"/>
      <c r="AG59" s="39">
        <f>SIN(RADIANS($C35))*AG54</f>
        <v>269.49663620924895</v>
      </c>
      <c r="AH59" s="89"/>
      <c r="AI59" s="89"/>
      <c r="AJ59" s="39">
        <f>SIN(RADIANS($C35))*AJ54</f>
        <v>206.0856629835433</v>
      </c>
      <c r="AK59" s="89"/>
      <c r="AL59" s="89"/>
      <c r="AM59" s="39">
        <f>SIN(RADIANS($C35))*AM54</f>
        <v>269.49663620924895</v>
      </c>
      <c r="AN59" s="89"/>
      <c r="AO59" s="89"/>
      <c r="AP59" s="39">
        <f>SIN(RADIANS($C35))*AP54</f>
        <v>206.0856629835433</v>
      </c>
    </row>
    <row r="60" spans="1:42" s="11" customFormat="1" ht="15" x14ac:dyDescent="0.25">
      <c r="E60" s="18"/>
      <c r="F60" s="5"/>
      <c r="G60" s="89"/>
      <c r="J60" s="35"/>
      <c r="V60" s="35"/>
      <c r="W60" s="35"/>
      <c r="X60" s="35"/>
    </row>
    <row r="61" spans="1:42" s="11" customFormat="1" ht="15" x14ac:dyDescent="0.25">
      <c r="E61" s="18"/>
      <c r="F61" s="5"/>
      <c r="G61" s="89"/>
      <c r="J61" s="35"/>
      <c r="V61" s="35"/>
      <c r="W61" s="89"/>
      <c r="X61" s="89"/>
      <c r="Y61" s="89"/>
      <c r="Z61" s="89"/>
      <c r="AA61" s="39"/>
      <c r="AB61" s="89"/>
      <c r="AC61" s="89"/>
      <c r="AD61" s="39"/>
      <c r="AE61" s="89"/>
      <c r="AF61" s="89"/>
      <c r="AG61" s="39"/>
      <c r="AH61" s="89"/>
      <c r="AI61" s="89"/>
      <c r="AJ61" s="39"/>
      <c r="AK61" s="89"/>
      <c r="AL61" s="89"/>
      <c r="AM61" s="39"/>
      <c r="AN61" s="89"/>
      <c r="AO61" s="89"/>
      <c r="AP61" s="39"/>
    </row>
    <row r="62" spans="1:42" s="11" customFormat="1" ht="15" x14ac:dyDescent="0.25">
      <c r="B62" s="129" t="s">
        <v>185</v>
      </c>
      <c r="C62" s="129"/>
      <c r="D62" s="129"/>
      <c r="E62" s="129"/>
      <c r="F62" s="129"/>
      <c r="G62" s="129"/>
      <c r="H62" s="129"/>
      <c r="I62" s="129"/>
      <c r="J62" s="35"/>
      <c r="K62" s="128" t="s">
        <v>54</v>
      </c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35"/>
      <c r="W62" s="107" t="s">
        <v>165</v>
      </c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</row>
    <row r="63" spans="1:42" s="11" customFormat="1" ht="42" customHeight="1" x14ac:dyDescent="0.25">
      <c r="A63" s="27"/>
      <c r="B63" s="29" t="s">
        <v>37</v>
      </c>
      <c r="C63" s="29" t="s">
        <v>32</v>
      </c>
      <c r="D63" s="32" t="s">
        <v>40</v>
      </c>
      <c r="E63" s="29" t="s">
        <v>33</v>
      </c>
      <c r="F63" s="29" t="s">
        <v>34</v>
      </c>
      <c r="G63" s="29" t="s">
        <v>35</v>
      </c>
      <c r="H63" s="29" t="s">
        <v>164</v>
      </c>
      <c r="I63" s="29" t="s">
        <v>36</v>
      </c>
      <c r="J63" s="61"/>
      <c r="K63" s="29" t="s">
        <v>38</v>
      </c>
      <c r="L63" s="36" t="s">
        <v>55</v>
      </c>
      <c r="M63" s="36" t="s">
        <v>56</v>
      </c>
      <c r="N63" s="36" t="s">
        <v>57</v>
      </c>
      <c r="O63" s="29" t="s">
        <v>150</v>
      </c>
      <c r="P63" s="29" t="s">
        <v>152</v>
      </c>
      <c r="Q63" s="29" t="s">
        <v>204</v>
      </c>
      <c r="R63" s="37" t="s">
        <v>58</v>
      </c>
      <c r="S63" s="29" t="s">
        <v>151</v>
      </c>
      <c r="T63" s="36" t="s">
        <v>59</v>
      </c>
      <c r="U63" s="36" t="s">
        <v>60</v>
      </c>
      <c r="V63" s="47"/>
      <c r="W63" s="41" t="s">
        <v>71</v>
      </c>
      <c r="X63" s="42" t="s">
        <v>72</v>
      </c>
      <c r="Y63" s="41" t="s">
        <v>73</v>
      </c>
      <c r="Z63" s="42" t="s">
        <v>74</v>
      </c>
      <c r="AA63" s="43" t="s">
        <v>75</v>
      </c>
      <c r="AB63" s="42" t="s">
        <v>73</v>
      </c>
      <c r="AC63" s="42" t="s">
        <v>74</v>
      </c>
      <c r="AD63" s="43" t="s">
        <v>75</v>
      </c>
      <c r="AE63" s="42" t="s">
        <v>73</v>
      </c>
      <c r="AF63" s="42" t="s">
        <v>74</v>
      </c>
      <c r="AG63" s="43" t="s">
        <v>75</v>
      </c>
      <c r="AH63" s="42" t="s">
        <v>73</v>
      </c>
      <c r="AI63" s="42" t="s">
        <v>74</v>
      </c>
      <c r="AJ63" s="43" t="s">
        <v>75</v>
      </c>
      <c r="AK63" s="42" t="s">
        <v>73</v>
      </c>
      <c r="AL63" s="42" t="s">
        <v>74</v>
      </c>
      <c r="AM63" s="43" t="s">
        <v>75</v>
      </c>
      <c r="AN63" s="42" t="s">
        <v>73</v>
      </c>
      <c r="AO63" s="42" t="s">
        <v>74</v>
      </c>
      <c r="AP63" s="43" t="s">
        <v>75</v>
      </c>
    </row>
    <row r="64" spans="1:42" s="11" customFormat="1" ht="15" x14ac:dyDescent="0.25">
      <c r="A64" s="18"/>
      <c r="B64" s="26" t="s">
        <v>6</v>
      </c>
      <c r="C64" s="26" t="s">
        <v>1</v>
      </c>
      <c r="D64" s="31" t="s">
        <v>1</v>
      </c>
      <c r="E64" s="26" t="s">
        <v>22</v>
      </c>
      <c r="F64" s="26" t="s">
        <v>30</v>
      </c>
      <c r="G64" s="26" t="s">
        <v>22</v>
      </c>
      <c r="H64" s="26" t="s">
        <v>30</v>
      </c>
      <c r="I64" s="26" t="s">
        <v>30</v>
      </c>
      <c r="J64" s="61"/>
      <c r="K64" s="10" t="s">
        <v>6</v>
      </c>
      <c r="L64" s="10" t="s">
        <v>1</v>
      </c>
      <c r="M64" s="10"/>
      <c r="N64" s="10" t="s">
        <v>61</v>
      </c>
      <c r="O64" s="10" t="s">
        <v>22</v>
      </c>
      <c r="P64" s="10" t="s">
        <v>147</v>
      </c>
      <c r="Q64" s="10"/>
      <c r="R64" s="38" t="s">
        <v>22</v>
      </c>
      <c r="S64" s="10" t="s">
        <v>22</v>
      </c>
      <c r="T64" s="10" t="s">
        <v>22</v>
      </c>
      <c r="U64" s="10" t="s">
        <v>22</v>
      </c>
      <c r="V64" s="18"/>
      <c r="W64" s="38" t="s">
        <v>76</v>
      </c>
      <c r="X64" s="10" t="s">
        <v>22</v>
      </c>
      <c r="Y64" s="38" t="s">
        <v>22</v>
      </c>
      <c r="Z64" s="10" t="s">
        <v>77</v>
      </c>
      <c r="AA64" s="44" t="s">
        <v>78</v>
      </c>
      <c r="AB64" s="10" t="s">
        <v>22</v>
      </c>
      <c r="AC64" s="10" t="s">
        <v>77</v>
      </c>
      <c r="AD64" s="44" t="s">
        <v>78</v>
      </c>
      <c r="AE64" s="10" t="s">
        <v>22</v>
      </c>
      <c r="AF64" s="10" t="s">
        <v>77</v>
      </c>
      <c r="AG64" s="44" t="s">
        <v>78</v>
      </c>
      <c r="AH64" s="10" t="s">
        <v>22</v>
      </c>
      <c r="AI64" s="10" t="s">
        <v>77</v>
      </c>
      <c r="AJ64" s="44" t="s">
        <v>78</v>
      </c>
      <c r="AK64" s="10" t="s">
        <v>22</v>
      </c>
      <c r="AL64" s="10" t="s">
        <v>77</v>
      </c>
      <c r="AM64" s="44" t="s">
        <v>78</v>
      </c>
      <c r="AN64" s="10" t="s">
        <v>22</v>
      </c>
      <c r="AO64" s="10" t="s">
        <v>77</v>
      </c>
      <c r="AP64" s="44" t="s">
        <v>78</v>
      </c>
    </row>
    <row r="65" spans="1:43" ht="15" x14ac:dyDescent="0.25">
      <c r="A65" s="18"/>
      <c r="B65" s="96">
        <v>-1</v>
      </c>
      <c r="C65" s="96">
        <f t="shared" ref="C65" si="0">B65/C$11</f>
        <v>-5.0929581789406511</v>
      </c>
      <c r="D65" s="97">
        <f t="shared" ref="D65" si="1">IF((C65&lt;(-C$24+C$26)),0,C65-(C$26-C$24))</f>
        <v>0</v>
      </c>
      <c r="E65" s="98">
        <v>0</v>
      </c>
      <c r="F65" s="98">
        <f>E65/$C$11</f>
        <v>0</v>
      </c>
      <c r="G65" s="98">
        <f t="shared" ref="G65:G77" si="2">($C$27*$C$15)+F$57+(F$56*$C65)</f>
        <v>-213.53418935901212</v>
      </c>
      <c r="H65" s="98">
        <f>((G65-$C$21)/$C$17)</f>
        <v>-7586.8566849811214</v>
      </c>
      <c r="I65" s="98">
        <f>IF(H65&lt;C$27,C$27,H65)</f>
        <v>50</v>
      </c>
      <c r="J65" s="61"/>
      <c r="K65" s="95">
        <v>0</v>
      </c>
      <c r="L65" s="99">
        <f t="shared" ref="L65:L75" si="3">$K65/$C$30</f>
        <v>0</v>
      </c>
      <c r="M65" s="99">
        <f t="shared" ref="M65:M75" si="4">$C$31-$L65</f>
        <v>11.5</v>
      </c>
      <c r="N65" s="100">
        <f>[2]!linear_intp_2col('pedal model'!$F$29:$F$38,'pedal model'!$A$29:$A$38,L65)</f>
        <v>0</v>
      </c>
      <c r="O65" s="101">
        <f>(L65+'master cylinder spring'!D$7)*'master cylinder spring'!D$5</f>
        <v>6</v>
      </c>
      <c r="P65" s="102">
        <f>[2]!linear_intp_2col('pedal model'!J$29:J$38,'pedal model'!M$29:M$38,K65)</f>
        <v>0.97936458869313603</v>
      </c>
      <c r="Q65" s="102">
        <f>IF(L65+S$57&lt;0,0,L65+S$57)</f>
        <v>0</v>
      </c>
      <c r="R65" s="101">
        <f t="shared" ref="R65:R75" si="5">IF(($L65+S$57)*S$58&lt;0,0,($L65+S$57)*S$58)</f>
        <v>0</v>
      </c>
      <c r="S65" s="100">
        <v>0</v>
      </c>
      <c r="T65" s="101">
        <f t="shared" ref="T65:T75" si="6">R65+S65+O65</f>
        <v>6</v>
      </c>
      <c r="U65" s="100">
        <f t="shared" ref="U65:U75" si="7">P65*T65*$C$32/$C$33</f>
        <v>2.3504750128635266</v>
      </c>
      <c r="V65" s="18"/>
      <c r="W65" s="101">
        <f>[2]!linear_intp_2col('Brake capability'!A$7:A$16,'Brake capability'!B$7:B$16,'engine run install'!I65)</f>
        <v>0</v>
      </c>
      <c r="X65" s="101">
        <f>W65/$C$35</f>
        <v>0</v>
      </c>
      <c r="Y65" s="103">
        <f>-(2*$X65)+AA$59-AA$58+$C$36</f>
        <v>769.49663620924889</v>
      </c>
      <c r="Z65" s="102">
        <f t="shared" ref="Z65" si="8">Y65/AA$55</f>
        <v>1.457517157996342</v>
      </c>
      <c r="AA65" s="102">
        <f>-Z65/32.2</f>
        <v>-4.5264508012308753E-2</v>
      </c>
      <c r="AB65" s="103">
        <f t="shared" ref="AB65:AB77" si="9">-(2*$X65)+AD$59-AD$58+$C$36</f>
        <v>1.4403812274215397</v>
      </c>
      <c r="AC65" s="102">
        <f>AB65/AD$55</f>
        <v>3.5677135017671987E-3</v>
      </c>
      <c r="AD65" s="102">
        <f>-AC65/32.2</f>
        <v>-1.1079855595550305E-4</v>
      </c>
      <c r="AE65" s="103">
        <f t="shared" ref="AE65:AE77" si="10">-(2*$X65)+AG$59-AG$58+$C$36</f>
        <v>64.851354453127158</v>
      </c>
      <c r="AF65" s="102">
        <f>AE65/AG$55</f>
        <v>0.12283609490533497</v>
      </c>
      <c r="AG65" s="102">
        <f>-AF65/32.2</f>
        <v>-3.814785556066303E-3</v>
      </c>
      <c r="AH65" s="103">
        <f t="shared" ref="AH65:AH77" si="11">-(2*$X65)+AJ$59-AJ$58+$C$36</f>
        <v>706.08566298354333</v>
      </c>
      <c r="AI65" s="102">
        <f>AH65/AJ$55</f>
        <v>1.748919872928469</v>
      </c>
      <c r="AJ65" s="102">
        <f>-AI65/32.2</f>
        <v>-5.4314281767964871E-2</v>
      </c>
      <c r="AK65" s="103">
        <f t="shared" ref="AK65:AK77" si="12">-(2*$X65)+AM$59-AM$58+$C$36</f>
        <v>593.33531577021847</v>
      </c>
      <c r="AL65" s="102">
        <f>AK65/AM$55</f>
        <v>1.1238468922235902</v>
      </c>
      <c r="AM65" s="102">
        <f>-AL65/32.2</f>
        <v>-3.4902077398248139E-2</v>
      </c>
      <c r="AN65" s="103">
        <f t="shared" ref="AN65:AN77" si="13">-(2*$X65)+AP$59-AP$58+$C$36</f>
        <v>706.08566298354333</v>
      </c>
      <c r="AO65" s="102">
        <f>AN65/AP$55</f>
        <v>1.748919872928469</v>
      </c>
      <c r="AP65" s="102">
        <f>-AO65/32.2</f>
        <v>-5.4314281767964871E-2</v>
      </c>
      <c r="AQ65" s="35"/>
    </row>
    <row r="66" spans="1:43" ht="15" x14ac:dyDescent="0.25">
      <c r="A66" s="18">
        <v>1</v>
      </c>
      <c r="B66" s="12">
        <v>0</v>
      </c>
      <c r="C66" s="12">
        <f t="shared" ref="C66:C75" si="14">B66/C$11</f>
        <v>0</v>
      </c>
      <c r="D66" s="28">
        <f t="shared" ref="D66:D75" si="15">IF((C66&lt;(-C$24+C$26)),0,C66-(C$26-C$24))</f>
        <v>0</v>
      </c>
      <c r="E66" s="13">
        <f t="shared" ref="E66:E77" si="16">($D66*$F$56)+($C$27*$C$13)+$C$28</f>
        <v>9.8174770424681039</v>
      </c>
      <c r="F66" s="13">
        <f>E66/$C$11</f>
        <v>50</v>
      </c>
      <c r="G66" s="13">
        <f t="shared" si="2"/>
        <v>1.3886457922833746</v>
      </c>
      <c r="H66" s="13">
        <f>((G66-$C$21)/$C$17)</f>
        <v>-6.5726744208475676</v>
      </c>
      <c r="I66" s="64">
        <f>IF(H66&lt;C$27,C$27,H66)</f>
        <v>50</v>
      </c>
      <c r="J66" s="61"/>
      <c r="K66" s="12">
        <f t="shared" ref="K66:K75" si="17">$B66+F$59</f>
        <v>1.9689710972195778E-2</v>
      </c>
      <c r="L66" s="45">
        <f t="shared" si="3"/>
        <v>0.10027887453682197</v>
      </c>
      <c r="M66" s="45">
        <f t="shared" si="4"/>
        <v>11.399721125463177</v>
      </c>
      <c r="N66" s="48">
        <f>[2]!linear_intp_2col('pedal model'!$F$29:$F$38,'pedal model'!$A$29:$A$38,L66)</f>
        <v>2.9351417027925915</v>
      </c>
      <c r="O66" s="39">
        <f>(L66+'master cylinder spring'!D$7)*'master cylinder spring'!D$5</f>
        <v>7.2176720479471248</v>
      </c>
      <c r="P66" s="74">
        <f>[2]!linear_intp_2col('pedal model'!J$29:J$38,'pedal model'!M$29:M$38,K66)</f>
        <v>0.98708240462243424</v>
      </c>
      <c r="Q66" s="102">
        <f t="shared" ref="Q66:Q77" si="18">IF(L66+S$57&lt;0,0,L66+S$57)</f>
        <v>0</v>
      </c>
      <c r="R66" s="39">
        <f t="shared" si="5"/>
        <v>0</v>
      </c>
      <c r="S66" s="46">
        <f t="shared" ref="S66:S75" si="19">F66*$C$30</f>
        <v>9.8174770424681039</v>
      </c>
      <c r="T66" s="39">
        <f t="shared" si="6"/>
        <v>17.035149090415228</v>
      </c>
      <c r="U66" s="46">
        <f t="shared" si="7"/>
        <v>6.726038370907494</v>
      </c>
      <c r="V66" s="48"/>
      <c r="W66" s="39">
        <f>[2]!linear_intp_2col('Brake capability'!A$7:A$16,'Brake capability'!B$7:B$16,'engine run install'!I66)</f>
        <v>0</v>
      </c>
      <c r="X66" s="39">
        <f>W66/$C$35</f>
        <v>0</v>
      </c>
      <c r="Y66" s="40">
        <f t="shared" ref="Y66:Y77" si="20">-(2*$X66)+AA$59-AA$58+$C$36</f>
        <v>769.49663620924889</v>
      </c>
      <c r="Z66" s="6">
        <f t="shared" ref="Z66:Z75" si="21">Y66/AA$55</f>
        <v>1.457517157996342</v>
      </c>
      <c r="AA66" s="6">
        <f>-Z66/32.2</f>
        <v>-4.5264508012308753E-2</v>
      </c>
      <c r="AB66" s="40">
        <f t="shared" si="9"/>
        <v>1.4403812274215397</v>
      </c>
      <c r="AC66" s="6">
        <f>AB66/AD$55</f>
        <v>3.5677135017671987E-3</v>
      </c>
      <c r="AD66" s="6">
        <f>-AC66/32.2</f>
        <v>-1.1079855595550305E-4</v>
      </c>
      <c r="AE66" s="40">
        <f t="shared" si="10"/>
        <v>64.851354453127158</v>
      </c>
      <c r="AF66" s="6">
        <f>AE66/AG$55</f>
        <v>0.12283609490533497</v>
      </c>
      <c r="AG66" s="6">
        <f>-AF66/32.2</f>
        <v>-3.814785556066303E-3</v>
      </c>
      <c r="AH66" s="40">
        <f t="shared" si="11"/>
        <v>706.08566298354333</v>
      </c>
      <c r="AI66" s="6">
        <f>AH66/AJ$55</f>
        <v>1.748919872928469</v>
      </c>
      <c r="AJ66" s="6">
        <f>-AI66/32.2</f>
        <v>-5.4314281767964871E-2</v>
      </c>
      <c r="AK66" s="40">
        <f t="shared" si="12"/>
        <v>593.33531577021847</v>
      </c>
      <c r="AL66" s="6">
        <f>AK66/AM$55</f>
        <v>1.1238468922235902</v>
      </c>
      <c r="AM66" s="6">
        <f>-AL66/32.2</f>
        <v>-3.4902077398248139E-2</v>
      </c>
      <c r="AN66" s="40">
        <f t="shared" si="13"/>
        <v>706.08566298354333</v>
      </c>
      <c r="AO66" s="6">
        <f>AN66/AP$55</f>
        <v>1.748919872928469</v>
      </c>
      <c r="AP66" s="6">
        <f>-AO66/32.2</f>
        <v>-5.4314281767964871E-2</v>
      </c>
      <c r="AQ66" s="35"/>
    </row>
    <row r="67" spans="1:43" ht="15" x14ac:dyDescent="0.25">
      <c r="A67" s="18"/>
      <c r="B67" s="12">
        <f>(B68+B66)/2</f>
        <v>6.1086523819801541E-3</v>
      </c>
      <c r="C67" s="12">
        <f t="shared" ref="C67" si="22">B67/C$11</f>
        <v>3.1111111111111114E-2</v>
      </c>
      <c r="D67" s="28">
        <f t="shared" ref="D67" si="23">IF((C67&lt;(-C$24+C$26)),0,C67-(C$26-C$24))</f>
        <v>1.111111111111087E-3</v>
      </c>
      <c r="E67" s="13">
        <f t="shared" si="16"/>
        <v>9.8643659313569927</v>
      </c>
      <c r="F67" s="13">
        <f>E67/$C$11</f>
        <v>50.23880315016811</v>
      </c>
      <c r="G67" s="13">
        <f t="shared" si="2"/>
        <v>2.7015346811722636</v>
      </c>
      <c r="H67" s="13">
        <f>((G67-$C$21)/$C$17)</f>
        <v>39.732645556347521</v>
      </c>
      <c r="I67" s="64">
        <f t="shared" ref="I67:I77" si="24">IF(H67&lt;C$27,C$27,H67)</f>
        <v>50</v>
      </c>
      <c r="J67" s="61"/>
      <c r="K67" s="12">
        <f t="shared" ref="K67" si="25">$B67+F$59</f>
        <v>2.5798363354175933E-2</v>
      </c>
      <c r="L67" s="45">
        <f t="shared" si="3"/>
        <v>0.13138998564793308</v>
      </c>
      <c r="M67" s="45">
        <f t="shared" si="4"/>
        <v>11.368610014352067</v>
      </c>
      <c r="N67" s="48">
        <f>[2]!linear_intp_2col('pedal model'!$F$29:$F$38,'pedal model'!$A$29:$A$38,L67)</f>
        <v>3.8457574238426471</v>
      </c>
      <c r="O67" s="39">
        <f>(L67+'master cylinder spring'!D$7)*'master cylinder spring'!D$5</f>
        <v>7.5954498257249021</v>
      </c>
      <c r="P67" s="74">
        <f>[2]!linear_intp_2col('pedal model'!J$29:J$38,'pedal model'!M$29:M$38,K67)</f>
        <v>0.98853544152775508</v>
      </c>
      <c r="Q67" s="102">
        <f t="shared" si="18"/>
        <v>1.1389985647933087E-2</v>
      </c>
      <c r="R67" s="39">
        <f t="shared" ref="R67" si="26">IF(($L67+S$57)*S$58&lt;0,0,($L67+S$57)*S$58)</f>
        <v>7.972989953553161</v>
      </c>
      <c r="S67" s="46">
        <f t="shared" ref="S67" si="27">F67*$C$30</f>
        <v>9.8643659313569927</v>
      </c>
      <c r="T67" s="39">
        <f t="shared" ref="T67" si="28">R67+S67+O67</f>
        <v>25.432805710635055</v>
      </c>
      <c r="U67" s="46">
        <f>P67*T67*$C$32/$C$33</f>
        <v>10.056491928980893</v>
      </c>
      <c r="V67" s="48"/>
      <c r="W67" s="39">
        <f>[2]!linear_intp_2col('Brake capability'!A$7:A$16,'Brake capability'!B$7:B$16,'engine run install'!I67)</f>
        <v>0</v>
      </c>
      <c r="X67" s="39">
        <f>W67/$C$35</f>
        <v>0</v>
      </c>
      <c r="Y67" s="40">
        <f t="shared" si="20"/>
        <v>769.49663620924889</v>
      </c>
      <c r="Z67" s="6">
        <f t="shared" ref="Z67" si="29">Y67/AA$55</f>
        <v>1.457517157996342</v>
      </c>
      <c r="AA67" s="6">
        <f>-Z67/32.2</f>
        <v>-4.5264508012308753E-2</v>
      </c>
      <c r="AB67" s="40">
        <f t="shared" si="9"/>
        <v>1.4403812274215397</v>
      </c>
      <c r="AC67" s="6">
        <f>AB67/AD$55</f>
        <v>3.5677135017671987E-3</v>
      </c>
      <c r="AD67" s="6">
        <f>-AC67/32.2</f>
        <v>-1.1079855595550305E-4</v>
      </c>
      <c r="AE67" s="40">
        <f t="shared" si="10"/>
        <v>64.851354453127158</v>
      </c>
      <c r="AF67" s="6">
        <f>AE67/AG$55</f>
        <v>0.12283609490533497</v>
      </c>
      <c r="AG67" s="6">
        <f>-AF67/32.2</f>
        <v>-3.814785556066303E-3</v>
      </c>
      <c r="AH67" s="40">
        <f t="shared" si="11"/>
        <v>706.08566298354333</v>
      </c>
      <c r="AI67" s="6">
        <f>AH67/AJ$55</f>
        <v>1.748919872928469</v>
      </c>
      <c r="AJ67" s="6">
        <f>-AI67/32.2</f>
        <v>-5.4314281767964871E-2</v>
      </c>
      <c r="AK67" s="40">
        <f t="shared" si="12"/>
        <v>593.33531577021847</v>
      </c>
      <c r="AL67" s="6">
        <f>AK67/AM$55</f>
        <v>1.1238468922235902</v>
      </c>
      <c r="AM67" s="6">
        <f>-AL67/32.2</f>
        <v>-3.4902077398248139E-2</v>
      </c>
      <c r="AN67" s="40">
        <f t="shared" si="13"/>
        <v>706.08566298354333</v>
      </c>
      <c r="AO67" s="6">
        <f>AN67/AP$55</f>
        <v>1.748919872928469</v>
      </c>
      <c r="AP67" s="6">
        <f>-AO67/32.2</f>
        <v>-5.4314281767964871E-2</v>
      </c>
      <c r="AQ67" s="35"/>
    </row>
    <row r="68" spans="1:43" ht="15.75" thickBot="1" x14ac:dyDescent="0.3">
      <c r="A68" s="18">
        <v>2</v>
      </c>
      <c r="B68" s="12">
        <f>B66+C$3/(A$76-1)</f>
        <v>1.2217304763960308E-2</v>
      </c>
      <c r="C68" s="12">
        <f t="shared" si="14"/>
        <v>6.2222222222222227E-2</v>
      </c>
      <c r="D68" s="28">
        <f t="shared" si="15"/>
        <v>3.2222222222222201E-2</v>
      </c>
      <c r="E68" s="13">
        <f t="shared" si="16"/>
        <v>11.177254820245881</v>
      </c>
      <c r="F68" s="13">
        <f t="shared" ref="F68:F75" si="30">E68/$C$11</f>
        <v>56.925291354875078</v>
      </c>
      <c r="G68" s="13">
        <f t="shared" si="2"/>
        <v>4.0144235700611528</v>
      </c>
      <c r="H68" s="13">
        <f t="shared" ref="H68:H75" si="31">((G68-$C$21)/$C$17)</f>
        <v>86.037965533542618</v>
      </c>
      <c r="I68" s="64">
        <f t="shared" si="24"/>
        <v>86.037965533542618</v>
      </c>
      <c r="J68" s="61"/>
      <c r="K68" s="12">
        <f t="shared" si="17"/>
        <v>3.1907015736156084E-2</v>
      </c>
      <c r="L68" s="45">
        <f t="shared" si="3"/>
        <v>0.16250109675904417</v>
      </c>
      <c r="M68" s="45">
        <f t="shared" si="4"/>
        <v>11.337498903240956</v>
      </c>
      <c r="N68" s="48">
        <f>[2]!linear_intp_2col('pedal model'!$F$29:$F$38,'pedal model'!$A$29:$A$38,L68)</f>
        <v>4.7563731448927022</v>
      </c>
      <c r="O68" s="39">
        <f>(L68+'master cylinder spring'!D$7)*'master cylinder spring'!D$5</f>
        <v>7.9732276035026795</v>
      </c>
      <c r="P68" s="74">
        <f>[2]!linear_intp_2col('pedal model'!J$29:J$38,'pedal model'!M$29:M$38,K68)</f>
        <v>0.98998847843307591</v>
      </c>
      <c r="Q68" s="102">
        <f t="shared" si="18"/>
        <v>4.2501096759044177E-2</v>
      </c>
      <c r="R68" s="39">
        <f t="shared" si="5"/>
        <v>29.750767731330924</v>
      </c>
      <c r="S68" s="46">
        <f t="shared" si="19"/>
        <v>11.177254820245881</v>
      </c>
      <c r="T68" s="39">
        <f t="shared" si="6"/>
        <v>48.901250155079481</v>
      </c>
      <c r="U68" s="46">
        <f>P68*T68*$C$32/$C$33</f>
        <v>19.364669693800941</v>
      </c>
      <c r="V68" s="48"/>
      <c r="W68" s="39">
        <f>[2]!linear_intp_2col('Brake capability'!A$7:A$16,'Brake capability'!B$7:B$16,'engine run install'!I68)</f>
        <v>0</v>
      </c>
      <c r="X68" s="39">
        <f t="shared" ref="X68:X75" si="32">W68/$C$35</f>
        <v>0</v>
      </c>
      <c r="Y68" s="40">
        <f t="shared" si="20"/>
        <v>769.49663620924889</v>
      </c>
      <c r="Z68" s="6">
        <f t="shared" si="21"/>
        <v>1.457517157996342</v>
      </c>
      <c r="AA68" s="6">
        <f t="shared" ref="AA68:AA75" si="33">-Z68/32.2</f>
        <v>-4.5264508012308753E-2</v>
      </c>
      <c r="AB68" s="40">
        <f t="shared" si="9"/>
        <v>1.4403812274215397</v>
      </c>
      <c r="AC68" s="6">
        <f t="shared" ref="AC68:AC75" si="34">AB68/AD$55</f>
        <v>3.5677135017671987E-3</v>
      </c>
      <c r="AD68" s="6">
        <f t="shared" ref="AD68:AD75" si="35">-AC68/32.2</f>
        <v>-1.1079855595550305E-4</v>
      </c>
      <c r="AE68" s="40">
        <f t="shared" si="10"/>
        <v>64.851354453127158</v>
      </c>
      <c r="AF68" s="6">
        <f t="shared" ref="AF68:AF75" si="36">AE68/AG$55</f>
        <v>0.12283609490533497</v>
      </c>
      <c r="AG68" s="6">
        <f t="shared" ref="AG68:AG75" si="37">-AF68/32.2</f>
        <v>-3.814785556066303E-3</v>
      </c>
      <c r="AH68" s="40">
        <f t="shared" si="11"/>
        <v>706.08566298354333</v>
      </c>
      <c r="AI68" s="6">
        <f t="shared" ref="AI68:AI75" si="38">AH68/AJ$55</f>
        <v>1.748919872928469</v>
      </c>
      <c r="AJ68" s="6">
        <f t="shared" ref="AJ68:AJ75" si="39">-AI68/32.2</f>
        <v>-5.4314281767964871E-2</v>
      </c>
      <c r="AK68" s="40">
        <f t="shared" si="12"/>
        <v>593.33531577021847</v>
      </c>
      <c r="AL68" s="6">
        <f t="shared" ref="AL68:AL75" si="40">AK68/AM$55</f>
        <v>1.1238468922235902</v>
      </c>
      <c r="AM68" s="6">
        <f t="shared" ref="AM68:AM75" si="41">-AL68/32.2</f>
        <v>-3.4902077398248139E-2</v>
      </c>
      <c r="AN68" s="40">
        <f t="shared" si="13"/>
        <v>706.08566298354333</v>
      </c>
      <c r="AO68" s="6">
        <f t="shared" ref="AO68:AO75" si="42">AN68/AP$55</f>
        <v>1.748919872928469</v>
      </c>
      <c r="AP68" s="6">
        <f t="shared" ref="AP68:AP75" si="43">-AO68/32.2</f>
        <v>-5.4314281767964871E-2</v>
      </c>
      <c r="AQ68" s="35"/>
    </row>
    <row r="69" spans="1:43" ht="15" x14ac:dyDescent="0.25">
      <c r="A69" s="18">
        <v>3</v>
      </c>
      <c r="B69" s="12">
        <f t="shared" ref="B69:B76" si="44">B68+C$3/(A$76-1)</f>
        <v>2.4434609527920616E-2</v>
      </c>
      <c r="C69" s="12">
        <f t="shared" si="14"/>
        <v>0.12444444444444445</v>
      </c>
      <c r="D69" s="28">
        <f t="shared" si="15"/>
        <v>9.4444444444444428E-2</v>
      </c>
      <c r="E69" s="13">
        <f t="shared" si="16"/>
        <v>13.803032598023659</v>
      </c>
      <c r="F69" s="13">
        <f t="shared" si="30"/>
        <v>70.298267764289022</v>
      </c>
      <c r="G69" s="13">
        <f t="shared" si="2"/>
        <v>6.6402013478389303</v>
      </c>
      <c r="H69" s="13">
        <f t="shared" si="31"/>
        <v>178.64860548793277</v>
      </c>
      <c r="I69" s="133">
        <f t="shared" si="24"/>
        <v>178.64860548793277</v>
      </c>
      <c r="J69" s="61"/>
      <c r="K69" s="12">
        <f t="shared" si="17"/>
        <v>4.4124320500116394E-2</v>
      </c>
      <c r="L69" s="136">
        <f t="shared" si="3"/>
        <v>0.22472331898126643</v>
      </c>
      <c r="M69" s="45">
        <f t="shared" si="4"/>
        <v>11.275276681018733</v>
      </c>
      <c r="N69" s="48">
        <f>[2]!linear_intp_2col('pedal model'!$F$29:$F$38,'pedal model'!$A$29:$A$38,L69)</f>
        <v>6.5558024660198324</v>
      </c>
      <c r="O69" s="39">
        <f>(L69+'master cylinder spring'!D$7)*'master cylinder spring'!D$5</f>
        <v>8.7287831590582368</v>
      </c>
      <c r="P69" s="74">
        <f>[2]!linear_intp_2col('pedal model'!J$29:J$38,'pedal model'!M$29:M$38,K69)</f>
        <v>0.99289455224371759</v>
      </c>
      <c r="Q69" s="102">
        <f t="shared" si="18"/>
        <v>0.10472331898126644</v>
      </c>
      <c r="R69" s="39">
        <f t="shared" si="5"/>
        <v>73.30632328688651</v>
      </c>
      <c r="S69" s="46">
        <f t="shared" si="19"/>
        <v>13.803032598023661</v>
      </c>
      <c r="T69" s="39">
        <f t="shared" si="6"/>
        <v>95.838139043968411</v>
      </c>
      <c r="U69" s="46">
        <f t="shared" si="7"/>
        <v>38.062866461572867</v>
      </c>
      <c r="V69" s="48"/>
      <c r="W69" s="39">
        <f>[2]!linear_intp_2col('Brake capability'!A$7:A$16,'Brake capability'!B$7:B$16,'engine run install'!I69)</f>
        <v>1002.4097393186918</v>
      </c>
      <c r="X69" s="39">
        <f t="shared" si="32"/>
        <v>1103.5703552132386</v>
      </c>
      <c r="Y69" s="40">
        <f t="shared" si="20"/>
        <v>-1437.6440742172283</v>
      </c>
      <c r="Z69" s="6">
        <f t="shared" si="21"/>
        <v>-2.7230670111643973</v>
      </c>
      <c r="AA69" s="6">
        <f t="shared" si="33"/>
        <v>8.4567298483366374E-2</v>
      </c>
      <c r="AB69" s="40">
        <f t="shared" si="9"/>
        <v>-2205.7003291990559</v>
      </c>
      <c r="AC69" s="6">
        <f t="shared" si="34"/>
        <v>-5.4633500461699693</v>
      </c>
      <c r="AD69" s="6">
        <f t="shared" si="35"/>
        <v>0.16966925609223507</v>
      </c>
      <c r="AE69" s="40">
        <f t="shared" si="10"/>
        <v>-2142.2893559733502</v>
      </c>
      <c r="AF69" s="6">
        <f t="shared" si="36"/>
        <v>-4.0577480742554046</v>
      </c>
      <c r="AG69" s="6">
        <f t="shared" si="37"/>
        <v>0.12601702093960881</v>
      </c>
      <c r="AH69" s="40">
        <f t="shared" si="11"/>
        <v>-1501.055047442934</v>
      </c>
      <c r="AI69" s="6">
        <f t="shared" si="38"/>
        <v>-3.7179978867432673</v>
      </c>
      <c r="AJ69" s="6">
        <f t="shared" si="39"/>
        <v>0.11546577288022568</v>
      </c>
      <c r="AK69" s="40">
        <f t="shared" si="12"/>
        <v>-1613.8053946562586</v>
      </c>
      <c r="AL69" s="6">
        <f t="shared" si="40"/>
        <v>-3.0567372769371488</v>
      </c>
      <c r="AM69" s="6">
        <f t="shared" si="41"/>
        <v>9.4929729097426974E-2</v>
      </c>
      <c r="AN69" s="40">
        <f t="shared" si="13"/>
        <v>-1501.055047442934</v>
      </c>
      <c r="AO69" s="6">
        <f t="shared" si="42"/>
        <v>-3.7179978867432673</v>
      </c>
      <c r="AP69" s="6">
        <f t="shared" si="43"/>
        <v>0.11546577288022568</v>
      </c>
      <c r="AQ69" s="35"/>
    </row>
    <row r="70" spans="1:43" ht="15" x14ac:dyDescent="0.25">
      <c r="A70" s="18">
        <v>4</v>
      </c>
      <c r="B70" s="63">
        <f t="shared" si="44"/>
        <v>3.6651914291880923E-2</v>
      </c>
      <c r="C70" s="63">
        <f t="shared" si="14"/>
        <v>0.18666666666666668</v>
      </c>
      <c r="D70" s="65">
        <f t="shared" si="15"/>
        <v>0.15666666666666665</v>
      </c>
      <c r="E70" s="64">
        <f t="shared" si="16"/>
        <v>16.428810375801437</v>
      </c>
      <c r="F70" s="64">
        <f t="shared" si="30"/>
        <v>83.671244173702959</v>
      </c>
      <c r="G70" s="64">
        <f t="shared" si="2"/>
        <v>9.2659791256167097</v>
      </c>
      <c r="H70" s="13">
        <f t="shared" si="31"/>
        <v>271.25924544232299</v>
      </c>
      <c r="I70" s="134">
        <f t="shared" si="24"/>
        <v>271.25924544232299</v>
      </c>
      <c r="J70" s="61"/>
      <c r="K70" s="12">
        <f t="shared" si="17"/>
        <v>5.6341625264076697E-2</v>
      </c>
      <c r="L70" s="137">
        <f t="shared" si="3"/>
        <v>0.28694554120348864</v>
      </c>
      <c r="M70" s="84">
        <f t="shared" si="4"/>
        <v>11.213054458796512</v>
      </c>
      <c r="N70" s="48">
        <f>[2]!linear_intp_2col('pedal model'!$F$29:$F$38,'pedal model'!$A$29:$A$38,L70)</f>
        <v>8.3518649218303231</v>
      </c>
      <c r="O70" s="39">
        <f>(L70+'master cylinder spring'!D$7)*'master cylinder spring'!D$5</f>
        <v>9.4843387146137914</v>
      </c>
      <c r="P70" s="74">
        <f>[2]!linear_intp_2col('pedal model'!J$29:J$38,'pedal model'!M$29:M$38,K70)</f>
        <v>0.99580062605435926</v>
      </c>
      <c r="Q70" s="102">
        <f t="shared" si="18"/>
        <v>0.16694554120348865</v>
      </c>
      <c r="R70" s="85">
        <f t="shared" si="5"/>
        <v>116.86187884244205</v>
      </c>
      <c r="S70" s="48">
        <f t="shared" si="19"/>
        <v>16.428810375801437</v>
      </c>
      <c r="T70" s="39">
        <f t="shared" si="6"/>
        <v>142.77502793285728</v>
      </c>
      <c r="U70" s="46">
        <f>P70*T70*$C$32/$C$33</f>
        <v>56.870184880187161</v>
      </c>
      <c r="V70" s="48"/>
      <c r="W70" s="39">
        <f>[2]!linear_intp_2col('Brake capability'!A$7:A$16,'Brake capability'!B$7:B$16,'engine run install'!I70)</f>
        <v>1793.2776170705722</v>
      </c>
      <c r="X70" s="85">
        <f t="shared" si="32"/>
        <v>1974.2505876006301</v>
      </c>
      <c r="Y70" s="86">
        <f t="shared" si="20"/>
        <v>-3179.004538992011</v>
      </c>
      <c r="Z70" s="74">
        <f t="shared" si="21"/>
        <v>-6.0214085973848679</v>
      </c>
      <c r="AA70" s="74">
        <f t="shared" si="33"/>
        <v>0.18700026699953004</v>
      </c>
      <c r="AB70" s="86">
        <f t="shared" si="9"/>
        <v>-3947.0607939738384</v>
      </c>
      <c r="AC70" s="74">
        <f t="shared" si="34"/>
        <v>-9.7765659666121234</v>
      </c>
      <c r="AD70" s="74">
        <f t="shared" si="35"/>
        <v>0.30362006107491063</v>
      </c>
      <c r="AE70" s="86">
        <f t="shared" si="10"/>
        <v>-3883.6498207481327</v>
      </c>
      <c r="AF70" s="74">
        <f t="shared" si="36"/>
        <v>-7.3560896604758748</v>
      </c>
      <c r="AG70" s="74">
        <f t="shared" si="37"/>
        <v>0.2284499894557725</v>
      </c>
      <c r="AH70" s="86">
        <f t="shared" si="11"/>
        <v>-3242.4155122177167</v>
      </c>
      <c r="AI70" s="74">
        <f t="shared" si="38"/>
        <v>-8.0312138071854218</v>
      </c>
      <c r="AJ70" s="74">
        <f t="shared" si="39"/>
        <v>0.24941657786290128</v>
      </c>
      <c r="AK70" s="86">
        <f t="shared" si="12"/>
        <v>-3355.1658594310416</v>
      </c>
      <c r="AL70" s="74">
        <f t="shared" si="40"/>
        <v>-6.3550788631576198</v>
      </c>
      <c r="AM70" s="74">
        <f t="shared" si="41"/>
        <v>0.19736269761359065</v>
      </c>
      <c r="AN70" s="86">
        <f t="shared" si="13"/>
        <v>-3242.4155122177167</v>
      </c>
      <c r="AO70" s="74">
        <f t="shared" si="42"/>
        <v>-8.0312138071854218</v>
      </c>
      <c r="AP70" s="74">
        <f t="shared" si="43"/>
        <v>0.24941657786290128</v>
      </c>
      <c r="AQ70" s="35"/>
    </row>
    <row r="71" spans="1:43" ht="15" x14ac:dyDescent="0.25">
      <c r="A71" s="18">
        <v>5</v>
      </c>
      <c r="B71" s="12">
        <f t="shared" si="44"/>
        <v>4.8869219055841233E-2</v>
      </c>
      <c r="C71" s="12">
        <f t="shared" si="14"/>
        <v>0.24888888888888891</v>
      </c>
      <c r="D71" s="28">
        <f t="shared" si="15"/>
        <v>0.21888888888888888</v>
      </c>
      <c r="E71" s="13">
        <f t="shared" si="16"/>
        <v>19.054588153579218</v>
      </c>
      <c r="F71" s="13">
        <f t="shared" si="30"/>
        <v>97.04422058311691</v>
      </c>
      <c r="G71" s="13">
        <f t="shared" si="2"/>
        <v>11.891756903394487</v>
      </c>
      <c r="H71" s="13">
        <f t="shared" si="31"/>
        <v>363.86988539671313</v>
      </c>
      <c r="I71" s="134">
        <f t="shared" si="24"/>
        <v>363.86988539671313</v>
      </c>
      <c r="J71" s="61"/>
      <c r="K71" s="12">
        <f t="shared" si="17"/>
        <v>6.8558930028037007E-2</v>
      </c>
      <c r="L71" s="138">
        <f t="shared" si="3"/>
        <v>0.34916776342571088</v>
      </c>
      <c r="M71" s="45">
        <f t="shared" si="4"/>
        <v>11.150832236574288</v>
      </c>
      <c r="N71" s="48">
        <f>[2]!linear_intp_2col('pedal model'!$F$29:$F$38,'pedal model'!$A$29:$A$38,L71)</f>
        <v>10.146945510453872</v>
      </c>
      <c r="O71" s="39">
        <f>(L71+'master cylinder spring'!D$7)*'master cylinder spring'!D$5</f>
        <v>10.239894270169348</v>
      </c>
      <c r="P71" s="74">
        <f>[2]!linear_intp_2col('pedal model'!J$29:J$38,'pedal model'!M$29:M$38,K71)</f>
        <v>0.99748834781359041</v>
      </c>
      <c r="Q71" s="102">
        <f t="shared" si="18"/>
        <v>0.22916776342571088</v>
      </c>
      <c r="R71" s="39">
        <f t="shared" si="5"/>
        <v>160.41743439799762</v>
      </c>
      <c r="S71" s="46">
        <f t="shared" si="19"/>
        <v>19.054588153579218</v>
      </c>
      <c r="T71" s="39">
        <f t="shared" si="6"/>
        <v>189.7119168217462</v>
      </c>
      <c r="U71" s="46">
        <f t="shared" si="7"/>
        <v>75.694170588429159</v>
      </c>
      <c r="V71" s="48"/>
      <c r="W71" s="39">
        <f>[2]!linear_intp_2col('Brake capability'!A$7:A$16,'Brake capability'!B$7:B$16,'engine run install'!I71)</f>
        <v>2323.6469207741279</v>
      </c>
      <c r="X71" s="39">
        <f t="shared" si="32"/>
        <v>2558.1433990173887</v>
      </c>
      <c r="Y71" s="40">
        <f t="shared" si="20"/>
        <v>-4346.7901618255282</v>
      </c>
      <c r="Z71" s="6">
        <f t="shared" si="21"/>
        <v>-8.2333319535754121</v>
      </c>
      <c r="AA71" s="6">
        <f t="shared" si="33"/>
        <v>0.2556935389309134</v>
      </c>
      <c r="AB71" s="40">
        <f t="shared" si="9"/>
        <v>-5114.846416807356</v>
      </c>
      <c r="AC71" s="6">
        <f t="shared" si="34"/>
        <v>-12.669081124707452</v>
      </c>
      <c r="AD71" s="6">
        <f t="shared" si="35"/>
        <v>0.39344972436979658</v>
      </c>
      <c r="AE71" s="40">
        <f t="shared" si="10"/>
        <v>-5051.4354435816504</v>
      </c>
      <c r="AF71" s="6">
        <f t="shared" si="36"/>
        <v>-9.5680130166664199</v>
      </c>
      <c r="AG71" s="6">
        <f t="shared" si="37"/>
        <v>0.29714326138715585</v>
      </c>
      <c r="AH71" s="40">
        <f t="shared" si="11"/>
        <v>-4410.2011350512339</v>
      </c>
      <c r="AI71" s="6">
        <f t="shared" si="38"/>
        <v>-10.923728965280748</v>
      </c>
      <c r="AJ71" s="6">
        <f t="shared" si="39"/>
        <v>0.33924624115778718</v>
      </c>
      <c r="AK71" s="40">
        <f t="shared" si="12"/>
        <v>-4522.9514822645588</v>
      </c>
      <c r="AL71" s="6">
        <f t="shared" si="40"/>
        <v>-8.567002219348165</v>
      </c>
      <c r="AM71" s="6">
        <f t="shared" si="41"/>
        <v>0.26605596954497407</v>
      </c>
      <c r="AN71" s="40">
        <f t="shared" si="13"/>
        <v>-4410.2011350512339</v>
      </c>
      <c r="AO71" s="6">
        <f t="shared" si="42"/>
        <v>-10.923728965280748</v>
      </c>
      <c r="AP71" s="6">
        <f t="shared" si="43"/>
        <v>0.33924624115778718</v>
      </c>
      <c r="AQ71" s="35"/>
    </row>
    <row r="72" spans="1:43" ht="15" x14ac:dyDescent="0.25">
      <c r="A72" s="18">
        <v>6</v>
      </c>
      <c r="B72" s="12">
        <f t="shared" si="44"/>
        <v>6.1086523819801543E-2</v>
      </c>
      <c r="C72" s="12">
        <f t="shared" si="14"/>
        <v>0.31111111111111117</v>
      </c>
      <c r="D72" s="28">
        <f t="shared" si="15"/>
        <v>0.28111111111111114</v>
      </c>
      <c r="E72" s="13">
        <f t="shared" si="16"/>
        <v>21.680365931356995</v>
      </c>
      <c r="F72" s="13">
        <f t="shared" si="30"/>
        <v>110.41719699253085</v>
      </c>
      <c r="G72" s="13">
        <f t="shared" si="2"/>
        <v>14.517534681172268</v>
      </c>
      <c r="H72" s="13">
        <f t="shared" si="31"/>
        <v>456.48052535110344</v>
      </c>
      <c r="I72" s="134">
        <f t="shared" si="24"/>
        <v>456.48052535110344</v>
      </c>
      <c r="J72" s="61"/>
      <c r="K72" s="12">
        <f t="shared" si="17"/>
        <v>8.0776234791997317E-2</v>
      </c>
      <c r="L72" s="138">
        <f t="shared" si="3"/>
        <v>0.41138998564793311</v>
      </c>
      <c r="M72" s="45">
        <f t="shared" si="4"/>
        <v>11.088610014352067</v>
      </c>
      <c r="N72" s="48">
        <f>[2]!linear_intp_2col('pedal model'!$F$29:$F$38,'pedal model'!$A$29:$A$38,L72)</f>
        <v>11.931086611210402</v>
      </c>
      <c r="O72" s="39">
        <f>(L72+'master cylinder spring'!D$7)*'master cylinder spring'!D$5</f>
        <v>10.995449825724902</v>
      </c>
      <c r="P72" s="74">
        <f>[2]!linear_intp_2col('pedal model'!J$29:J$38,'pedal model'!M$29:M$38,K72)</f>
        <v>0.99832288447341033</v>
      </c>
      <c r="Q72" s="102">
        <f t="shared" si="18"/>
        <v>0.29138998564793311</v>
      </c>
      <c r="R72" s="39">
        <f t="shared" si="5"/>
        <v>203.97298995355317</v>
      </c>
      <c r="S72" s="46">
        <f t="shared" si="19"/>
        <v>21.680365931356995</v>
      </c>
      <c r="T72" s="39">
        <f t="shared" si="6"/>
        <v>236.64880571063506</v>
      </c>
      <c r="U72" s="46">
        <f t="shared" si="7"/>
        <v>94.500767329691541</v>
      </c>
      <c r="V72" s="48"/>
      <c r="W72" s="39">
        <f>[2]!linear_intp_2col('Brake capability'!A$7:A$16,'Brake capability'!B$7:B$16,'engine run install'!I72)</f>
        <v>2832.6047858421662</v>
      </c>
      <c r="X72" s="39">
        <f t="shared" si="32"/>
        <v>3118.463984413394</v>
      </c>
      <c r="Y72" s="40">
        <f t="shared" si="20"/>
        <v>-5467.4313326175388</v>
      </c>
      <c r="Z72" s="6">
        <f t="shared" si="21"/>
        <v>-10.355958171193221</v>
      </c>
      <c r="AA72" s="6">
        <f t="shared" si="33"/>
        <v>0.32161360780103165</v>
      </c>
      <c r="AB72" s="40">
        <f t="shared" si="9"/>
        <v>-6235.4875875993666</v>
      </c>
      <c r="AC72" s="6">
        <f t="shared" si="34"/>
        <v>-15.444823101592277</v>
      </c>
      <c r="AD72" s="6">
        <f t="shared" si="35"/>
        <v>0.47965289135379741</v>
      </c>
      <c r="AE72" s="40">
        <f t="shared" si="10"/>
        <v>-6172.076614373661</v>
      </c>
      <c r="AF72" s="6">
        <f t="shared" si="36"/>
        <v>-11.690639234284228</v>
      </c>
      <c r="AG72" s="6">
        <f t="shared" si="37"/>
        <v>0.36306333025727416</v>
      </c>
      <c r="AH72" s="40">
        <f t="shared" si="11"/>
        <v>-5530.8423058432445</v>
      </c>
      <c r="AI72" s="6">
        <f t="shared" si="38"/>
        <v>-13.699470942165576</v>
      </c>
      <c r="AJ72" s="6">
        <f t="shared" si="39"/>
        <v>0.425449408141788</v>
      </c>
      <c r="AK72" s="40">
        <f t="shared" si="12"/>
        <v>-5643.5926530565694</v>
      </c>
      <c r="AL72" s="6">
        <f t="shared" si="40"/>
        <v>-10.689628436965974</v>
      </c>
      <c r="AM72" s="6">
        <f t="shared" si="41"/>
        <v>0.33197603841509232</v>
      </c>
      <c r="AN72" s="40">
        <f t="shared" si="13"/>
        <v>-5530.8423058432445</v>
      </c>
      <c r="AO72" s="6">
        <f t="shared" si="42"/>
        <v>-13.699470942165576</v>
      </c>
      <c r="AP72" s="6">
        <f t="shared" si="43"/>
        <v>0.425449408141788</v>
      </c>
      <c r="AQ72" s="35"/>
    </row>
    <row r="73" spans="1:43" ht="15" x14ac:dyDescent="0.25">
      <c r="A73" s="18">
        <v>7</v>
      </c>
      <c r="B73" s="12">
        <f t="shared" si="44"/>
        <v>7.3303828583761846E-2</v>
      </c>
      <c r="C73" s="12">
        <f t="shared" si="14"/>
        <v>0.37333333333333335</v>
      </c>
      <c r="D73" s="28">
        <f t="shared" si="15"/>
        <v>0.34333333333333332</v>
      </c>
      <c r="E73" s="13">
        <f t="shared" si="16"/>
        <v>24.306143709134773</v>
      </c>
      <c r="F73" s="13">
        <f t="shared" si="30"/>
        <v>123.79017340194478</v>
      </c>
      <c r="G73" s="13">
        <f t="shared" si="2"/>
        <v>17.143312458950042</v>
      </c>
      <c r="H73" s="13">
        <f t="shared" si="31"/>
        <v>549.09116530549352</v>
      </c>
      <c r="I73" s="134">
        <f t="shared" si="24"/>
        <v>549.09116530549352</v>
      </c>
      <c r="J73" s="61"/>
      <c r="K73" s="12">
        <f t="shared" si="17"/>
        <v>9.2993539555957627E-2</v>
      </c>
      <c r="L73" s="138">
        <f t="shared" si="3"/>
        <v>0.47361220787015534</v>
      </c>
      <c r="M73" s="45">
        <f t="shared" si="4"/>
        <v>11.026387792129844</v>
      </c>
      <c r="N73" s="48">
        <f>[2]!linear_intp_2col('pedal model'!$F$29:$F$38,'pedal model'!$A$29:$A$38,L73)</f>
        <v>13.715227711966932</v>
      </c>
      <c r="O73" s="39">
        <f>(L73+'master cylinder spring'!D$7)*'master cylinder spring'!D$5</f>
        <v>11.751005381280457</v>
      </c>
      <c r="P73" s="74">
        <f>[2]!linear_intp_2col('pedal model'!J$29:J$38,'pedal model'!M$29:M$38,K73)</f>
        <v>0.99915742113323025</v>
      </c>
      <c r="Q73" s="102">
        <f t="shared" si="18"/>
        <v>0.35361220787015535</v>
      </c>
      <c r="R73" s="39">
        <f t="shared" si="5"/>
        <v>247.52854550910874</v>
      </c>
      <c r="S73" s="46">
        <f t="shared" si="19"/>
        <v>24.306143709134773</v>
      </c>
      <c r="T73" s="39">
        <f t="shared" si="6"/>
        <v>283.58569459952395</v>
      </c>
      <c r="U73" s="46">
        <f t="shared" si="7"/>
        <v>113.33870051453445</v>
      </c>
      <c r="V73" s="48"/>
      <c r="W73" s="39">
        <f>[2]!linear_intp_2col('Brake capability'!A$7:A$16,'Brake capability'!B$7:B$16,'engine run install'!I73)</f>
        <v>3270.6613084582859</v>
      </c>
      <c r="X73" s="39">
        <f t="shared" si="32"/>
        <v>3600.728046009122</v>
      </c>
      <c r="Y73" s="40">
        <f t="shared" si="20"/>
        <v>-6431.9594558089948</v>
      </c>
      <c r="Z73" s="6">
        <f t="shared" si="21"/>
        <v>-12.182887910414685</v>
      </c>
      <c r="AA73" s="6">
        <f t="shared" si="33"/>
        <v>0.3783505562240585</v>
      </c>
      <c r="AB73" s="40">
        <f t="shared" si="9"/>
        <v>-7200.0157107908226</v>
      </c>
      <c r="AC73" s="6">
        <f t="shared" si="34"/>
        <v>-17.8338850682665</v>
      </c>
      <c r="AD73" s="6">
        <f t="shared" si="35"/>
        <v>0.55384736236852483</v>
      </c>
      <c r="AE73" s="40">
        <f t="shared" si="10"/>
        <v>-7136.6047375651169</v>
      </c>
      <c r="AF73" s="6">
        <f t="shared" si="36"/>
        <v>-13.517568973505693</v>
      </c>
      <c r="AG73" s="6">
        <f t="shared" si="37"/>
        <v>0.41980027868030095</v>
      </c>
      <c r="AH73" s="40">
        <f t="shared" si="11"/>
        <v>-6495.3704290347005</v>
      </c>
      <c r="AI73" s="6">
        <f t="shared" si="38"/>
        <v>-16.088532908839799</v>
      </c>
      <c r="AJ73" s="6">
        <f t="shared" si="39"/>
        <v>0.49964387915651542</v>
      </c>
      <c r="AK73" s="40">
        <f t="shared" si="12"/>
        <v>-6608.1207762480253</v>
      </c>
      <c r="AL73" s="6">
        <f t="shared" si="40"/>
        <v>-12.516558176187436</v>
      </c>
      <c r="AM73" s="6">
        <f t="shared" si="41"/>
        <v>0.38871298683811911</v>
      </c>
      <c r="AN73" s="40">
        <f t="shared" si="13"/>
        <v>-6495.3704290347005</v>
      </c>
      <c r="AO73" s="6">
        <f t="shared" si="42"/>
        <v>-16.088532908839799</v>
      </c>
      <c r="AP73" s="6">
        <f t="shared" si="43"/>
        <v>0.49964387915651542</v>
      </c>
      <c r="AQ73" s="35"/>
    </row>
    <row r="74" spans="1:43" ht="15" x14ac:dyDescent="0.25">
      <c r="A74" s="18">
        <v>8</v>
      </c>
      <c r="B74" s="12">
        <f t="shared" si="44"/>
        <v>8.5521133347722156E-2</v>
      </c>
      <c r="C74" s="12">
        <f t="shared" si="14"/>
        <v>0.43555555555555558</v>
      </c>
      <c r="D74" s="28">
        <f t="shared" si="15"/>
        <v>0.40555555555555556</v>
      </c>
      <c r="E74" s="13">
        <f t="shared" si="16"/>
        <v>26.93192148691255</v>
      </c>
      <c r="F74" s="13">
        <f t="shared" si="30"/>
        <v>137.16314981135872</v>
      </c>
      <c r="G74" s="13">
        <f t="shared" si="2"/>
        <v>19.76909023672782</v>
      </c>
      <c r="H74" s="13">
        <f t="shared" si="31"/>
        <v>641.7018052598836</v>
      </c>
      <c r="I74" s="134">
        <f t="shared" si="24"/>
        <v>641.7018052598836</v>
      </c>
      <c r="J74" s="61"/>
      <c r="K74" s="12">
        <f t="shared" si="17"/>
        <v>0.10521084431991794</v>
      </c>
      <c r="L74" s="138">
        <f t="shared" si="3"/>
        <v>0.53583443009237763</v>
      </c>
      <c r="M74" s="45">
        <f t="shared" si="4"/>
        <v>10.964165569907623</v>
      </c>
      <c r="N74" s="48">
        <f>[2]!linear_intp_2col('pedal model'!$F$29:$F$38,'pedal model'!$A$29:$A$38,L74)</f>
        <v>15.49978681709864</v>
      </c>
      <c r="O74" s="39">
        <f>(L74+'master cylinder spring'!D$7)*'master cylinder spring'!D$5</f>
        <v>12.506560936836015</v>
      </c>
      <c r="P74" s="74">
        <f>[2]!linear_intp_2col('pedal model'!J$29:J$38,'pedal model'!M$29:M$38,K74)</f>
        <v>0.99990290045265118</v>
      </c>
      <c r="Q74" s="102">
        <f t="shared" si="18"/>
        <v>0.41583443009237764</v>
      </c>
      <c r="R74" s="39">
        <f t="shared" si="5"/>
        <v>291.08410106466437</v>
      </c>
      <c r="S74" s="46">
        <f t="shared" si="19"/>
        <v>26.93192148691255</v>
      </c>
      <c r="T74" s="39">
        <f t="shared" si="6"/>
        <v>330.52258348841292</v>
      </c>
      <c r="U74" s="46">
        <f t="shared" si="7"/>
        <v>132.19619595806705</v>
      </c>
      <c r="V74" s="48"/>
      <c r="W74" s="39">
        <f>[2]!linear_intp_2col('Brake capability'!A$7:A$16,'Brake capability'!B$7:B$16,'engine run install'!I74)</f>
        <v>3708.7178310744052</v>
      </c>
      <c r="X74" s="39">
        <f t="shared" si="32"/>
        <v>4082.9921076048499</v>
      </c>
      <c r="Y74" s="40">
        <f t="shared" si="20"/>
        <v>-7396.4875790004508</v>
      </c>
      <c r="Z74" s="6">
        <f t="shared" si="21"/>
        <v>-14.009817649636148</v>
      </c>
      <c r="AA74" s="6">
        <f t="shared" si="33"/>
        <v>0.43508750464708529</v>
      </c>
      <c r="AB74" s="40">
        <f t="shared" si="9"/>
        <v>-8164.5438339822776</v>
      </c>
      <c r="AC74" s="6">
        <f t="shared" si="34"/>
        <v>-20.22294703494072</v>
      </c>
      <c r="AD74" s="6">
        <f t="shared" si="35"/>
        <v>0.62804183338325215</v>
      </c>
      <c r="AE74" s="40">
        <f t="shared" si="10"/>
        <v>-8101.132860756572</v>
      </c>
      <c r="AF74" s="6">
        <f t="shared" si="36"/>
        <v>-15.344498712727153</v>
      </c>
      <c r="AG74" s="6">
        <f t="shared" si="37"/>
        <v>0.47653722710332769</v>
      </c>
      <c r="AH74" s="40">
        <f t="shared" si="11"/>
        <v>-7459.8985522261564</v>
      </c>
      <c r="AI74" s="6">
        <f t="shared" si="38"/>
        <v>-18.477594875514018</v>
      </c>
      <c r="AJ74" s="6">
        <f t="shared" si="39"/>
        <v>0.57383835017124274</v>
      </c>
      <c r="AK74" s="40">
        <f t="shared" si="12"/>
        <v>-7572.6488994394813</v>
      </c>
      <c r="AL74" s="6">
        <f t="shared" si="40"/>
        <v>-14.3434879154089</v>
      </c>
      <c r="AM74" s="6">
        <f t="shared" si="41"/>
        <v>0.44544993526114596</v>
      </c>
      <c r="AN74" s="40">
        <f t="shared" si="13"/>
        <v>-7459.8985522261564</v>
      </c>
      <c r="AO74" s="6">
        <f t="shared" si="42"/>
        <v>-18.477594875514018</v>
      </c>
      <c r="AP74" s="6">
        <f t="shared" si="43"/>
        <v>0.57383835017124274</v>
      </c>
      <c r="AQ74" s="35"/>
    </row>
    <row r="75" spans="1:43" ht="15" x14ac:dyDescent="0.25">
      <c r="A75" s="18">
        <v>9</v>
      </c>
      <c r="B75" s="12">
        <f t="shared" si="44"/>
        <v>9.7738438111682466E-2</v>
      </c>
      <c r="C75" s="12">
        <f t="shared" si="14"/>
        <v>0.49777777777777782</v>
      </c>
      <c r="D75" s="28">
        <f t="shared" si="15"/>
        <v>0.46777777777777779</v>
      </c>
      <c r="E75" s="13">
        <f t="shared" si="16"/>
        <v>29.557699264690328</v>
      </c>
      <c r="F75" s="13">
        <f t="shared" si="30"/>
        <v>150.53612622077267</v>
      </c>
      <c r="G75" s="13">
        <f t="shared" si="2"/>
        <v>22.394868014505597</v>
      </c>
      <c r="H75" s="13">
        <f t="shared" si="31"/>
        <v>734.31244521427379</v>
      </c>
      <c r="I75" s="134">
        <f t="shared" si="24"/>
        <v>734.31244521427379</v>
      </c>
      <c r="J75" s="61"/>
      <c r="K75" s="12">
        <f t="shared" si="17"/>
        <v>0.11742814908387825</v>
      </c>
      <c r="L75" s="138">
        <f t="shared" si="3"/>
        <v>0.59805665231459981</v>
      </c>
      <c r="M75" s="45">
        <f t="shared" si="4"/>
        <v>10.9019433476854</v>
      </c>
      <c r="N75" s="48">
        <f>[2]!linear_intp_2col('pedal model'!$F$29:$F$38,'pedal model'!$A$29:$A$38,L75)</f>
        <v>17.285421360711524</v>
      </c>
      <c r="O75" s="39">
        <f>(L75+'master cylinder spring'!D$7)*'master cylinder spring'!D$5</f>
        <v>13.26211649239157</v>
      </c>
      <c r="P75" s="74">
        <f>[2]!linear_intp_2col('pedal model'!J$29:J$38,'pedal model'!M$29:M$38,K75)</f>
        <v>0.99857922410058308</v>
      </c>
      <c r="Q75" s="102">
        <f t="shared" si="18"/>
        <v>0.47805665231459982</v>
      </c>
      <c r="R75" s="39">
        <f t="shared" si="5"/>
        <v>334.63965662021985</v>
      </c>
      <c r="S75" s="46">
        <f t="shared" si="19"/>
        <v>29.557699264690328</v>
      </c>
      <c r="T75" s="39">
        <f t="shared" si="6"/>
        <v>377.45947237730172</v>
      </c>
      <c r="U75" s="46">
        <f t="shared" si="7"/>
        <v>150.76927482237656</v>
      </c>
      <c r="V75" s="48"/>
      <c r="W75" s="39">
        <f>[2]!linear_intp_2col('Brake capability'!A$7:A$16,'Brake capability'!B$7:B$16,'engine run install'!I75)</f>
        <v>4077.4940360522733</v>
      </c>
      <c r="X75" s="39">
        <f t="shared" si="32"/>
        <v>4488.9842598740624</v>
      </c>
      <c r="Y75" s="40">
        <f t="shared" si="20"/>
        <v>-8208.4718835388758</v>
      </c>
      <c r="Z75" s="6">
        <f t="shared" si="21"/>
        <v>-15.547811449997164</v>
      </c>
      <c r="AA75" s="6">
        <f t="shared" si="33"/>
        <v>0.48285128726699261</v>
      </c>
      <c r="AB75" s="40">
        <f t="shared" si="9"/>
        <v>-8976.5281385207036</v>
      </c>
      <c r="AC75" s="6">
        <f t="shared" si="34"/>
        <v>-22.234169696951284</v>
      </c>
      <c r="AD75" s="6">
        <f t="shared" si="35"/>
        <v>0.69050216450159263</v>
      </c>
      <c r="AE75" s="40">
        <f t="shared" si="10"/>
        <v>-8913.1171652949979</v>
      </c>
      <c r="AF75" s="6">
        <f t="shared" si="36"/>
        <v>-16.882492513088174</v>
      </c>
      <c r="AG75" s="6">
        <f t="shared" si="37"/>
        <v>0.52430100972323512</v>
      </c>
      <c r="AH75" s="40">
        <f t="shared" si="11"/>
        <v>-8271.8828567645814</v>
      </c>
      <c r="AI75" s="6">
        <f t="shared" si="38"/>
        <v>-20.488817537524579</v>
      </c>
      <c r="AJ75" s="6">
        <f t="shared" si="39"/>
        <v>0.63629868128958311</v>
      </c>
      <c r="AK75" s="40">
        <f t="shared" si="12"/>
        <v>-8384.6332039779063</v>
      </c>
      <c r="AL75" s="6">
        <f t="shared" si="40"/>
        <v>-15.881481715769917</v>
      </c>
      <c r="AM75" s="6">
        <f t="shared" si="41"/>
        <v>0.49321371788105328</v>
      </c>
      <c r="AN75" s="40">
        <f t="shared" si="13"/>
        <v>-8271.8828567645814</v>
      </c>
      <c r="AO75" s="6">
        <f t="shared" si="42"/>
        <v>-20.488817537524579</v>
      </c>
      <c r="AP75" s="6">
        <f t="shared" si="43"/>
        <v>0.63629868128958311</v>
      </c>
      <c r="AQ75" s="35"/>
    </row>
    <row r="76" spans="1:43" ht="15" x14ac:dyDescent="0.25">
      <c r="A76" s="18">
        <v>10</v>
      </c>
      <c r="B76" s="12">
        <f t="shared" si="44"/>
        <v>0.10995574287564278</v>
      </c>
      <c r="C76" s="12">
        <f>B76/C$11</f>
        <v>0.56000000000000005</v>
      </c>
      <c r="D76" s="28">
        <f>IF((C76&lt;(-C$24+C$26)),0,C76-(C$26-C$24))</f>
        <v>0.53</v>
      </c>
      <c r="E76" s="13">
        <f t="shared" si="16"/>
        <v>32.183477042468105</v>
      </c>
      <c r="F76" s="13">
        <f>E76/$C$11</f>
        <v>163.9091026301866</v>
      </c>
      <c r="G76" s="13">
        <f t="shared" si="2"/>
        <v>25.020645792283378</v>
      </c>
      <c r="H76" s="13">
        <f>((G76-$C$21)/$C$17)</f>
        <v>826.9230851686641</v>
      </c>
      <c r="I76" s="134">
        <f t="shared" si="24"/>
        <v>826.9230851686641</v>
      </c>
      <c r="J76" s="61"/>
      <c r="K76" s="12">
        <f>$B76+F$59</f>
        <v>0.12964545384783854</v>
      </c>
      <c r="L76" s="138">
        <f>$K76/$C$30</f>
        <v>0.66027887453682199</v>
      </c>
      <c r="M76" s="45">
        <f>$C$31-$L76</f>
        <v>10.839721125463178</v>
      </c>
      <c r="N76" s="48">
        <f>[2]!linear_intp_2col('pedal model'!$F$29:$F$38,'pedal model'!$A$29:$A$38,L76)</f>
        <v>19.07105590432441</v>
      </c>
      <c r="O76" s="39">
        <f>(L76+'master cylinder spring'!D$7)*'master cylinder spring'!D$5</f>
        <v>14.017672047947126</v>
      </c>
      <c r="P76" s="74">
        <f>[2]!linear_intp_2col('pedal model'!J$29:J$38,'pedal model'!M$29:M$38,K76)</f>
        <v>0.99725554774851488</v>
      </c>
      <c r="Q76" s="102">
        <f t="shared" si="18"/>
        <v>0.540278874536822</v>
      </c>
      <c r="R76" s="39">
        <f>IF(($L76+S$57)*S$58&lt;0,0,($L76+S$57)*S$58)</f>
        <v>378.1952121757754</v>
      </c>
      <c r="S76" s="46">
        <f>F76*$C$30</f>
        <v>32.183477042468105</v>
      </c>
      <c r="T76" s="39">
        <f>R76+S76+O76</f>
        <v>424.39636126619064</v>
      </c>
      <c r="U76" s="46">
        <f>P76*T76*$C$32/$C$33</f>
        <v>169.29265028679663</v>
      </c>
      <c r="V76" s="48"/>
      <c r="W76" s="39">
        <f>[2]!linear_intp_2col('Brake capability'!A$7:A$16,'Brake capability'!B$7:B$16,'engine run install'!I76)</f>
        <v>4428.0334320199872</v>
      </c>
      <c r="X76" s="39">
        <f>W76/$C$35</f>
        <v>4874.8991912146648</v>
      </c>
      <c r="Y76" s="40">
        <f t="shared" si="20"/>
        <v>-8980.3017462200805</v>
      </c>
      <c r="Z76" s="6">
        <f>Y76/AA$55</f>
        <v>-17.009748013428624</v>
      </c>
      <c r="AA76" s="50">
        <f>-Z76/32.2</f>
        <v>0.52825304389529881</v>
      </c>
      <c r="AB76" s="40">
        <f t="shared" si="9"/>
        <v>-9748.3580012019083</v>
      </c>
      <c r="AC76" s="6">
        <f>AB76/AD$55</f>
        <v>-24.145932895284727</v>
      </c>
      <c r="AD76" s="50">
        <f>-AC76/32.2</f>
        <v>0.74987369240014667</v>
      </c>
      <c r="AE76" s="40">
        <f t="shared" si="10"/>
        <v>-9684.9470279762027</v>
      </c>
      <c r="AF76" s="6">
        <f>AE76/AG$55</f>
        <v>-18.344429076519631</v>
      </c>
      <c r="AG76" s="50">
        <f>-AF76/32.2</f>
        <v>0.56970276635154127</v>
      </c>
      <c r="AH76" s="40">
        <f t="shared" si="11"/>
        <v>-9043.7127194457862</v>
      </c>
      <c r="AI76" s="6">
        <f>AH76/AJ$55</f>
        <v>-22.400580735858025</v>
      </c>
      <c r="AJ76" s="50">
        <f>-AI76/32.2</f>
        <v>0.69567020918813738</v>
      </c>
      <c r="AK76" s="40">
        <f t="shared" si="12"/>
        <v>-9156.4630666591111</v>
      </c>
      <c r="AL76" s="6">
        <f>AK76/AM$55</f>
        <v>-17.343418279201376</v>
      </c>
      <c r="AM76" s="50">
        <f>-AL76/32.2</f>
        <v>0.53861547450935943</v>
      </c>
      <c r="AN76" s="40">
        <f t="shared" si="13"/>
        <v>-9043.7127194457862</v>
      </c>
      <c r="AO76" s="6">
        <f>AN76/AP$55</f>
        <v>-22.400580735858025</v>
      </c>
      <c r="AP76" s="50">
        <f>-AO76/32.2</f>
        <v>0.69567020918813738</v>
      </c>
      <c r="AQ76" s="35"/>
    </row>
    <row r="77" spans="1:43" ht="15.75" thickBot="1" x14ac:dyDescent="0.3">
      <c r="A77" s="18"/>
      <c r="B77" s="96">
        <f>B76</f>
        <v>0.10995574287564278</v>
      </c>
      <c r="C77" s="96">
        <f>B77/C$11</f>
        <v>0.56000000000000005</v>
      </c>
      <c r="D77" s="97">
        <f>IF((C77&lt;(-C$24+C$26)),0,C77-(C$26-C$24))</f>
        <v>0.53</v>
      </c>
      <c r="E77" s="98">
        <f t="shared" si="16"/>
        <v>32.183477042468105</v>
      </c>
      <c r="F77" s="98">
        <v>1100</v>
      </c>
      <c r="G77" s="98">
        <f t="shared" si="2"/>
        <v>25.020645792283378</v>
      </c>
      <c r="H77" s="98">
        <f>((G77-$C$21)/$C$17)</f>
        <v>826.9230851686641</v>
      </c>
      <c r="I77" s="135">
        <f t="shared" si="24"/>
        <v>826.9230851686641</v>
      </c>
      <c r="J77" s="61"/>
      <c r="K77" s="96">
        <f>$B77+F$59</f>
        <v>0.12964545384783854</v>
      </c>
      <c r="L77" s="139">
        <f>$K77/$C$30</f>
        <v>0.66027887453682199</v>
      </c>
      <c r="M77" s="99">
        <f>$C$31-$L77</f>
        <v>10.839721125463178</v>
      </c>
      <c r="N77" s="100">
        <f>[2]!linear_intp_2col('pedal model'!$F$29:$F$38,'pedal model'!$A$29:$A$38,L77)</f>
        <v>19.07105590432441</v>
      </c>
      <c r="O77" s="101">
        <f>(L77+'master cylinder spring'!D$7)*'master cylinder spring'!D$5</f>
        <v>14.017672047947126</v>
      </c>
      <c r="P77" s="102">
        <f>[2]!linear_intp_2col('pedal model'!J$29:J$38,'pedal model'!M$29:M$38,K77)</f>
        <v>0.99725554774851488</v>
      </c>
      <c r="Q77" s="102">
        <f t="shared" si="18"/>
        <v>0.540278874536822</v>
      </c>
      <c r="R77" s="101">
        <f>IF(($L77+S$57)*S$58&lt;0,0,($L77+S$57)*S$58)</f>
        <v>378.1952121757754</v>
      </c>
      <c r="S77" s="100">
        <f>F77*$C$30</f>
        <v>215.98449493429828</v>
      </c>
      <c r="T77" s="101">
        <f>R77+S77+O77</f>
        <v>608.19737915802079</v>
      </c>
      <c r="U77" s="100">
        <v>200</v>
      </c>
      <c r="V77" s="48"/>
      <c r="W77" s="101">
        <f>[2]!linear_intp_2col('Brake capability'!A$7:A$16,'Brake capability'!B$7:B$16,'engine run install'!I77)</f>
        <v>4428.0334320199872</v>
      </c>
      <c r="X77" s="101">
        <f>W77/$C$35</f>
        <v>4874.8991912146648</v>
      </c>
      <c r="Y77" s="103">
        <f t="shared" si="20"/>
        <v>-8980.3017462200805</v>
      </c>
      <c r="Z77" s="102">
        <f>Y77/AA$55</f>
        <v>-17.009748013428624</v>
      </c>
      <c r="AA77" s="102">
        <f>-Z77/32.2</f>
        <v>0.52825304389529881</v>
      </c>
      <c r="AB77" s="103">
        <f t="shared" si="9"/>
        <v>-9748.3580012019083</v>
      </c>
      <c r="AC77" s="102">
        <f>AB77/AD$55</f>
        <v>-24.145932895284727</v>
      </c>
      <c r="AD77" s="102">
        <f>-AC77/32.2</f>
        <v>0.74987369240014667</v>
      </c>
      <c r="AE77" s="103">
        <f t="shared" si="10"/>
        <v>-9684.9470279762027</v>
      </c>
      <c r="AF77" s="102">
        <f>AE77/AG$55</f>
        <v>-18.344429076519631</v>
      </c>
      <c r="AG77" s="102">
        <f>-AF77/32.2</f>
        <v>0.56970276635154127</v>
      </c>
      <c r="AH77" s="103">
        <f t="shared" si="11"/>
        <v>-9043.7127194457862</v>
      </c>
      <c r="AI77" s="102">
        <f>AH77/AJ$55</f>
        <v>-22.400580735858025</v>
      </c>
      <c r="AJ77" s="102">
        <f>-AI77/32.2</f>
        <v>0.69567020918813738</v>
      </c>
      <c r="AK77" s="103">
        <f t="shared" si="12"/>
        <v>-9156.4630666591111</v>
      </c>
      <c r="AL77" s="102">
        <f>AK77/AM$55</f>
        <v>-17.343418279201376</v>
      </c>
      <c r="AM77" s="102">
        <f>-AL77/32.2</f>
        <v>0.53861547450935943</v>
      </c>
      <c r="AN77" s="103">
        <f t="shared" si="13"/>
        <v>-9043.7127194457862</v>
      </c>
      <c r="AO77" s="102">
        <f>AN77/AP$55</f>
        <v>-22.400580735858025</v>
      </c>
      <c r="AP77" s="102">
        <f>-AO77/32.2</f>
        <v>0.69567020918813738</v>
      </c>
      <c r="AQ77" s="35"/>
    </row>
    <row r="78" spans="1:43" x14ac:dyDescent="0.2">
      <c r="A78" s="61"/>
      <c r="B78" s="31"/>
      <c r="C78" s="31"/>
      <c r="D78" s="31"/>
      <c r="E78" s="31"/>
      <c r="F78" s="31"/>
      <c r="G78" s="31"/>
      <c r="H78" s="31"/>
      <c r="I78" s="31"/>
      <c r="J78" s="61"/>
      <c r="K78" s="31"/>
      <c r="V78" s="35"/>
      <c r="Y78" s="11"/>
      <c r="AQ78" s="35"/>
    </row>
    <row r="79" spans="1:43" x14ac:dyDescent="0.2">
      <c r="A79" s="31"/>
      <c r="B79" s="31"/>
      <c r="C79" s="31"/>
      <c r="D79" s="31"/>
      <c r="E79" s="31"/>
      <c r="F79" s="31"/>
      <c r="G79" s="31"/>
      <c r="H79" s="31"/>
      <c r="I79" s="31"/>
      <c r="J79" s="61"/>
      <c r="K79" s="31"/>
      <c r="V79" s="35"/>
      <c r="Y79" s="11"/>
      <c r="AQ79" s="35"/>
    </row>
    <row r="80" spans="1:43" x14ac:dyDescent="0.2">
      <c r="V80" s="35"/>
      <c r="Y80" s="11"/>
      <c r="AQ80" s="35"/>
    </row>
    <row r="81" spans="9:43" ht="15" x14ac:dyDescent="0.25">
      <c r="V81" s="35"/>
      <c r="W81" s="49" t="s">
        <v>166</v>
      </c>
      <c r="X81" s="49"/>
      <c r="Y81" s="49"/>
      <c r="Z81" s="49"/>
      <c r="AA81" s="49"/>
      <c r="AB81" s="49"/>
      <c r="AC81" s="49"/>
      <c r="AD81" s="49"/>
      <c r="AQ81" s="35"/>
    </row>
    <row r="82" spans="9:43" ht="90" x14ac:dyDescent="0.25">
      <c r="V82" s="35"/>
      <c r="W82" s="41" t="s">
        <v>71</v>
      </c>
      <c r="X82" s="42" t="s">
        <v>72</v>
      </c>
      <c r="Y82" s="41" t="s">
        <v>73</v>
      </c>
      <c r="Z82" s="42" t="s">
        <v>74</v>
      </c>
      <c r="AA82" s="43" t="s">
        <v>75</v>
      </c>
      <c r="AB82" s="42" t="s">
        <v>73</v>
      </c>
      <c r="AC82" s="42" t="s">
        <v>74</v>
      </c>
      <c r="AD82" s="43" t="s">
        <v>75</v>
      </c>
      <c r="AQ82" s="35"/>
    </row>
    <row r="83" spans="9:43" ht="15" x14ac:dyDescent="0.25">
      <c r="I83" s="45">
        <f>I69-I$69</f>
        <v>0</v>
      </c>
      <c r="L83" s="45">
        <f>L69-L$69</f>
        <v>0</v>
      </c>
      <c r="O83" s="11">
        <v>100</v>
      </c>
      <c r="V83" s="35"/>
      <c r="W83" s="38" t="s">
        <v>76</v>
      </c>
      <c r="X83" s="10" t="s">
        <v>22</v>
      </c>
      <c r="Y83" s="38" t="s">
        <v>22</v>
      </c>
      <c r="Z83" s="10" t="s">
        <v>77</v>
      </c>
      <c r="AA83" s="44" t="s">
        <v>78</v>
      </c>
      <c r="AB83" s="10" t="s">
        <v>22</v>
      </c>
      <c r="AC83" s="10" t="s">
        <v>77</v>
      </c>
      <c r="AD83" s="44" t="s">
        <v>78</v>
      </c>
      <c r="AQ83" s="35"/>
    </row>
    <row r="84" spans="9:43" ht="15" x14ac:dyDescent="0.25">
      <c r="I84" s="45">
        <f t="shared" ref="I84:I91" si="45">I70-I$69</f>
        <v>92.610639954390223</v>
      </c>
      <c r="L84" s="45">
        <f t="shared" ref="L84:L92" si="46">L70-L$69</f>
        <v>6.2222222222222207E-2</v>
      </c>
      <c r="V84" s="35"/>
      <c r="W84" s="39">
        <f>[2]!linear_intp_2col('Brake capability'!A$7:A$16,'Brake capability'!C$7:C$16,'engine run install'!I65)</f>
        <v>0</v>
      </c>
      <c r="X84" s="39">
        <f>W84/$C$35</f>
        <v>0</v>
      </c>
      <c r="Y84" s="40">
        <f t="shared" ref="Y84:Y95" si="47">-(2*$X84)+AA$59-AA$58+$C$36</f>
        <v>769.49663620924889</v>
      </c>
      <c r="Z84" s="6">
        <f t="shared" ref="Z84:Z95" si="48">Y84/AA$55</f>
        <v>1.457517157996342</v>
      </c>
      <c r="AA84" s="6">
        <f>-Z84/32.2</f>
        <v>-4.5264508012308753E-2</v>
      </c>
      <c r="AB84" s="40">
        <f t="shared" ref="AB84:AB95" si="49">-(2*$X84)+AD$59-AD$58+$C$36</f>
        <v>1.4403812274215397</v>
      </c>
      <c r="AC84" s="6">
        <f t="shared" ref="AC84:AC95" si="50">AB84/AD$55</f>
        <v>3.5677135017671987E-3</v>
      </c>
      <c r="AD84" s="6">
        <f>-AC84/32.2</f>
        <v>-1.1079855595550305E-4</v>
      </c>
      <c r="AQ84" s="35"/>
    </row>
    <row r="85" spans="9:43" ht="15" x14ac:dyDescent="0.25">
      <c r="I85" s="45">
        <f t="shared" si="45"/>
        <v>185.22127990878036</v>
      </c>
      <c r="L85" s="45">
        <f t="shared" si="46"/>
        <v>0.12444444444444444</v>
      </c>
      <c r="V85" s="35"/>
      <c r="W85" s="39">
        <f>[2]!linear_intp_2col('Brake capability'!A$7:A$16,'Brake capability'!C$7:C$16,'engine run install'!I66)</f>
        <v>0</v>
      </c>
      <c r="X85" s="39">
        <f>W85/$C$35</f>
        <v>0</v>
      </c>
      <c r="Y85" s="40">
        <f t="shared" si="47"/>
        <v>769.49663620924889</v>
      </c>
      <c r="Z85" s="6">
        <f t="shared" si="48"/>
        <v>1.457517157996342</v>
      </c>
      <c r="AA85" s="6">
        <f>-Z85/32.2</f>
        <v>-4.5264508012308753E-2</v>
      </c>
      <c r="AB85" s="40">
        <f t="shared" si="49"/>
        <v>1.4403812274215397</v>
      </c>
      <c r="AC85" s="6">
        <f t="shared" si="50"/>
        <v>3.5677135017671987E-3</v>
      </c>
      <c r="AD85" s="6">
        <f>-AC85/32.2</f>
        <v>-1.1079855595550305E-4</v>
      </c>
      <c r="AQ85" s="35"/>
    </row>
    <row r="86" spans="9:43" ht="15" x14ac:dyDescent="0.25">
      <c r="I86" s="45">
        <f t="shared" si="45"/>
        <v>277.8319198631707</v>
      </c>
      <c r="L86" s="45">
        <f t="shared" si="46"/>
        <v>0.18666666666666668</v>
      </c>
      <c r="V86" s="35"/>
      <c r="W86" s="39">
        <f>[2]!linear_intp_2col('Brake capability'!A$7:A$16,'Brake capability'!C$7:C$16,'engine run install'!I68)</f>
        <v>0</v>
      </c>
      <c r="X86" s="39">
        <f t="shared" ref="X86:X95" si="51">W86/$C$35</f>
        <v>0</v>
      </c>
      <c r="Y86" s="40">
        <f t="shared" si="47"/>
        <v>769.49663620924889</v>
      </c>
      <c r="Z86" s="6">
        <f t="shared" si="48"/>
        <v>1.457517157996342</v>
      </c>
      <c r="AA86" s="6">
        <f t="shared" ref="AA86:AA95" si="52">-Z86/32.2</f>
        <v>-4.5264508012308753E-2</v>
      </c>
      <c r="AB86" s="40">
        <f t="shared" si="49"/>
        <v>1.4403812274215397</v>
      </c>
      <c r="AC86" s="6">
        <f t="shared" si="50"/>
        <v>3.5677135017671987E-3</v>
      </c>
      <c r="AD86" s="6">
        <f t="shared" ref="AD86:AD95" si="53">-AC86/32.2</f>
        <v>-1.1079855595550305E-4</v>
      </c>
      <c r="AQ86" s="35"/>
    </row>
    <row r="87" spans="9:43" ht="15" x14ac:dyDescent="0.25">
      <c r="I87" s="45">
        <f t="shared" si="45"/>
        <v>370.44255981756078</v>
      </c>
      <c r="L87" s="45">
        <f t="shared" si="46"/>
        <v>0.24888888888888891</v>
      </c>
      <c r="V87" s="35"/>
      <c r="W87" s="39">
        <f>[2]!linear_intp_2col('Brake capability'!A$7:A$16,'Brake capability'!C$7:C$16,'engine run install'!I69)</f>
        <v>852.04827842088798</v>
      </c>
      <c r="X87" s="39">
        <f t="shared" si="51"/>
        <v>938.03480193125279</v>
      </c>
      <c r="Y87" s="40">
        <f t="shared" si="47"/>
        <v>-1106.5729676532567</v>
      </c>
      <c r="Z87" s="6">
        <f t="shared" si="48"/>
        <v>-2.0959793857902862</v>
      </c>
      <c r="AA87" s="6">
        <f t="shared" si="52"/>
        <v>6.5092527509015091E-2</v>
      </c>
      <c r="AB87" s="40">
        <f t="shared" si="49"/>
        <v>-1874.6292226350843</v>
      </c>
      <c r="AC87" s="6">
        <f t="shared" si="50"/>
        <v>-4.6433123822192091</v>
      </c>
      <c r="AD87" s="6">
        <f t="shared" si="53"/>
        <v>0.14420224789500649</v>
      </c>
      <c r="AQ87" s="35"/>
    </row>
    <row r="88" spans="9:43" ht="15" x14ac:dyDescent="0.25">
      <c r="I88" s="45">
        <f t="shared" si="45"/>
        <v>463.05319977195086</v>
      </c>
      <c r="L88" s="45">
        <f t="shared" si="46"/>
        <v>0.31111111111111123</v>
      </c>
      <c r="V88" s="35"/>
      <c r="W88" s="39">
        <f>[2]!linear_intp_2col('Brake capability'!A$7:A$16,'Brake capability'!C$7:C$16,'engine run install'!I70)</f>
        <v>1524.2859745099863</v>
      </c>
      <c r="X88" s="85">
        <f t="shared" si="51"/>
        <v>1678.1129994605353</v>
      </c>
      <c r="Y88" s="86">
        <f t="shared" si="47"/>
        <v>-2586.7293627118215</v>
      </c>
      <c r="Z88" s="74">
        <f t="shared" si="48"/>
        <v>-4.8995697340776854</v>
      </c>
      <c r="AA88" s="74">
        <f t="shared" si="52"/>
        <v>0.1521605507477542</v>
      </c>
      <c r="AB88" s="86">
        <f t="shared" si="49"/>
        <v>-3354.7856176936489</v>
      </c>
      <c r="AC88" s="74">
        <f t="shared" si="50"/>
        <v>-8.3095459145950379</v>
      </c>
      <c r="AD88" s="74">
        <f t="shared" si="53"/>
        <v>0.25806043213028068</v>
      </c>
      <c r="AQ88" s="35"/>
    </row>
    <row r="89" spans="9:43" ht="15" x14ac:dyDescent="0.25">
      <c r="I89" s="45">
        <f t="shared" si="45"/>
        <v>555.66383972634105</v>
      </c>
      <c r="L89" s="45">
        <f t="shared" si="46"/>
        <v>0.37333333333333341</v>
      </c>
      <c r="V89" s="35"/>
      <c r="W89" s="39">
        <f>[2]!linear_intp_2col('Brake capability'!A$7:A$16,'Brake capability'!C$7:C$16,'engine run install'!I71)</f>
        <v>1975.0998826580089</v>
      </c>
      <c r="X89" s="39">
        <f t="shared" si="51"/>
        <v>2174.4218891647806</v>
      </c>
      <c r="Y89" s="40">
        <f t="shared" si="47"/>
        <v>-3579.3471421203121</v>
      </c>
      <c r="Z89" s="6">
        <f t="shared" si="48"/>
        <v>-6.7797045868396504</v>
      </c>
      <c r="AA89" s="6">
        <f t="shared" si="52"/>
        <v>0.21054983188943011</v>
      </c>
      <c r="AB89" s="40">
        <f t="shared" si="49"/>
        <v>-4347.4033971021399</v>
      </c>
      <c r="AC89" s="6">
        <f t="shared" si="50"/>
        <v>-10.76818379897607</v>
      </c>
      <c r="AD89" s="6">
        <f t="shared" si="53"/>
        <v>0.33441564593093381</v>
      </c>
      <c r="AQ89" s="35"/>
    </row>
    <row r="90" spans="9:43" ht="15" x14ac:dyDescent="0.25">
      <c r="I90" s="45">
        <f t="shared" si="45"/>
        <v>648.27447968073136</v>
      </c>
      <c r="L90" s="45">
        <f t="shared" si="46"/>
        <v>0.43555555555555558</v>
      </c>
      <c r="V90" s="35"/>
      <c r="W90" s="39">
        <f>[2]!linear_intp_2col('Brake capability'!A$7:A$16,'Brake capability'!C$7:C$16,'engine run install'!I72)</f>
        <v>2407.7140679658414</v>
      </c>
      <c r="X90" s="39">
        <f t="shared" si="51"/>
        <v>2650.6943867513851</v>
      </c>
      <c r="Y90" s="40">
        <f t="shared" si="47"/>
        <v>-4531.892137293521</v>
      </c>
      <c r="Z90" s="6">
        <f t="shared" si="48"/>
        <v>-8.583936871814787</v>
      </c>
      <c r="AA90" s="6">
        <f t="shared" si="52"/>
        <v>0.26658189042903063</v>
      </c>
      <c r="AB90" s="40">
        <f t="shared" si="49"/>
        <v>-5299.9483922753489</v>
      </c>
      <c r="AC90" s="6">
        <f t="shared" si="50"/>
        <v>-13.127564479328173</v>
      </c>
      <c r="AD90" s="6">
        <f t="shared" si="53"/>
        <v>0.40768833786733455</v>
      </c>
      <c r="AQ90" s="35"/>
    </row>
    <row r="91" spans="9:43" ht="15" x14ac:dyDescent="0.25">
      <c r="I91" s="45">
        <f t="shared" si="45"/>
        <v>648.27447968073136</v>
      </c>
      <c r="L91" s="45">
        <f t="shared" si="46"/>
        <v>0.43555555555555558</v>
      </c>
      <c r="V91" s="35"/>
      <c r="W91" s="39">
        <f>[2]!linear_intp_2col('Brake capability'!A$7:A$16,'Brake capability'!C$7:C$16,'engine run install'!I73)</f>
        <v>2780.0621121895429</v>
      </c>
      <c r="X91" s="39">
        <f t="shared" si="51"/>
        <v>3060.6188391077535</v>
      </c>
      <c r="Y91" s="40">
        <f t="shared" si="47"/>
        <v>-5351.7410420062579</v>
      </c>
      <c r="Z91" s="6">
        <f t="shared" si="48"/>
        <v>-10.13682715015303</v>
      </c>
      <c r="AA91" s="6">
        <f t="shared" si="52"/>
        <v>0.31480829658860338</v>
      </c>
      <c r="AB91" s="40">
        <f t="shared" si="49"/>
        <v>-6119.7972969880857</v>
      </c>
      <c r="AC91" s="6">
        <f t="shared" si="50"/>
        <v>-15.15826715100126</v>
      </c>
      <c r="AD91" s="6">
        <f t="shared" si="53"/>
        <v>0.47075363822985272</v>
      </c>
      <c r="AQ91" s="35"/>
    </row>
    <row r="92" spans="9:43" ht="15" x14ac:dyDescent="0.25">
      <c r="L92" s="45"/>
      <c r="V92" s="35"/>
      <c r="W92" s="39">
        <f>[2]!linear_intp_2col('Brake capability'!A$7:A$16,'Brake capability'!C$7:C$16,'engine run install'!I74)</f>
        <v>3152.4101564132443</v>
      </c>
      <c r="X92" s="39">
        <f t="shared" si="51"/>
        <v>3470.5432914641224</v>
      </c>
      <c r="Y92" s="40">
        <f t="shared" si="47"/>
        <v>-6171.5899467189956</v>
      </c>
      <c r="Z92" s="6">
        <f t="shared" si="48"/>
        <v>-11.689717428491274</v>
      </c>
      <c r="AA92" s="6">
        <f t="shared" si="52"/>
        <v>0.36303470274817617</v>
      </c>
      <c r="AB92" s="40">
        <f t="shared" si="49"/>
        <v>-6939.6462017008234</v>
      </c>
      <c r="AC92" s="6">
        <f t="shared" si="50"/>
        <v>-17.188969822674348</v>
      </c>
      <c r="AD92" s="6">
        <f t="shared" si="53"/>
        <v>0.53381893859237106</v>
      </c>
      <c r="AQ92" s="35"/>
    </row>
    <row r="93" spans="9:43" ht="15" x14ac:dyDescent="0.25">
      <c r="I93" s="11">
        <v>100</v>
      </c>
      <c r="L93" s="11">
        <f>[2]!linear_intp_2col(I83:I91,L83:L91,I93)</f>
        <v>6.7186904499165548E-2</v>
      </c>
      <c r="V93" s="35"/>
      <c r="W93" s="39">
        <f>[2]!linear_intp_2col('Brake capability'!A$7:A$16,'Brake capability'!C$7:C$16,'engine run install'!I75)</f>
        <v>3465.8699306444323</v>
      </c>
      <c r="X93" s="39">
        <f t="shared" si="51"/>
        <v>3815.636620892953</v>
      </c>
      <c r="Y93" s="40">
        <f t="shared" si="47"/>
        <v>-6861.7766055766569</v>
      </c>
      <c r="Z93" s="6">
        <f t="shared" si="48"/>
        <v>-12.997012158798139</v>
      </c>
      <c r="AA93" s="6">
        <f t="shared" si="52"/>
        <v>0.40363391797509746</v>
      </c>
      <c r="AB93" s="40">
        <f t="shared" si="49"/>
        <v>-7629.8328605584848</v>
      </c>
      <c r="AC93" s="6">
        <f t="shared" si="50"/>
        <v>-18.898509085383324</v>
      </c>
      <c r="AD93" s="6">
        <f t="shared" si="53"/>
        <v>0.58691022004296034</v>
      </c>
      <c r="AQ93" s="35"/>
    </row>
    <row r="94" spans="9:43" ht="15" x14ac:dyDescent="0.25">
      <c r="V94" s="35"/>
      <c r="W94" s="39">
        <f>[2]!linear_intp_2col('Brake capability'!A$7:A$16,'Brake capability'!C$7:C$16,'engine run install'!I76)</f>
        <v>3763.8284172169892</v>
      </c>
      <c r="X94" s="39">
        <f t="shared" si="51"/>
        <v>4143.6643125324654</v>
      </c>
      <c r="Y94" s="40">
        <f t="shared" si="47"/>
        <v>-7517.8319888556816</v>
      </c>
      <c r="Z94" s="6">
        <f t="shared" si="48"/>
        <v>-14.239658237714879</v>
      </c>
      <c r="AA94" s="50">
        <f t="shared" si="52"/>
        <v>0.4422254111091577</v>
      </c>
      <c r="AB94" s="40">
        <f t="shared" si="49"/>
        <v>-8285.8882438375094</v>
      </c>
      <c r="AC94" s="6">
        <f t="shared" si="50"/>
        <v>-20.523507803966755</v>
      </c>
      <c r="AD94" s="50">
        <f t="shared" si="53"/>
        <v>0.63737601875673144</v>
      </c>
      <c r="AQ94" s="35"/>
    </row>
    <row r="95" spans="9:43" ht="15" x14ac:dyDescent="0.25">
      <c r="V95" s="35"/>
      <c r="W95" s="39">
        <f>[2]!linear_intp_2col('Brake capability'!A$7:A$16,'Brake capability'!C$7:C$16,'engine run install'!I77)</f>
        <v>3763.8284172169892</v>
      </c>
      <c r="X95" s="39">
        <f t="shared" si="51"/>
        <v>4143.6643125324654</v>
      </c>
      <c r="Y95" s="40">
        <f t="shared" si="47"/>
        <v>-7517.8319888556816</v>
      </c>
      <c r="Z95" s="6">
        <f t="shared" si="48"/>
        <v>-14.239658237714879</v>
      </c>
      <c r="AA95" s="6">
        <f t="shared" si="52"/>
        <v>0.4422254111091577</v>
      </c>
      <c r="AB95" s="40">
        <f t="shared" si="49"/>
        <v>-8285.8882438375094</v>
      </c>
      <c r="AC95" s="6">
        <f t="shared" si="50"/>
        <v>-20.523507803966755</v>
      </c>
      <c r="AD95" s="6">
        <f t="shared" si="53"/>
        <v>0.63737601875673144</v>
      </c>
      <c r="AQ95" s="35"/>
    </row>
    <row r="96" spans="9:43" x14ac:dyDescent="0.2">
      <c r="V96" s="35"/>
      <c r="W96" s="61"/>
      <c r="X96" s="61"/>
      <c r="Y96" s="61"/>
      <c r="Z96" s="61"/>
      <c r="AA96" s="61"/>
      <c r="AB96" s="61"/>
      <c r="AC96" s="61"/>
      <c r="AD96" s="61"/>
      <c r="AQ96" s="35"/>
    </row>
    <row r="97" spans="22:43" ht="15" x14ac:dyDescent="0.25">
      <c r="V97" s="35"/>
      <c r="W97" s="49" t="s">
        <v>167</v>
      </c>
      <c r="X97" s="49"/>
      <c r="Y97" s="49"/>
      <c r="Z97" s="49"/>
      <c r="AA97" s="49"/>
      <c r="AB97" s="49"/>
      <c r="AC97" s="49"/>
      <c r="AD97" s="49"/>
      <c r="AQ97" s="35"/>
    </row>
    <row r="98" spans="22:43" ht="90" x14ac:dyDescent="0.25">
      <c r="V98" s="35"/>
      <c r="W98" s="41" t="s">
        <v>71</v>
      </c>
      <c r="X98" s="42" t="s">
        <v>72</v>
      </c>
      <c r="Y98" s="41" t="s">
        <v>73</v>
      </c>
      <c r="Z98" s="42" t="s">
        <v>74</v>
      </c>
      <c r="AA98" s="43" t="s">
        <v>75</v>
      </c>
      <c r="AB98" s="42" t="s">
        <v>73</v>
      </c>
      <c r="AC98" s="42" t="s">
        <v>74</v>
      </c>
      <c r="AD98" s="43" t="s">
        <v>75</v>
      </c>
      <c r="AQ98" s="35"/>
    </row>
    <row r="99" spans="22:43" ht="15" x14ac:dyDescent="0.25">
      <c r="V99" s="35"/>
      <c r="W99" s="38" t="s">
        <v>76</v>
      </c>
      <c r="X99" s="10" t="s">
        <v>22</v>
      </c>
      <c r="Y99" s="38" t="s">
        <v>22</v>
      </c>
      <c r="Z99" s="10" t="s">
        <v>77</v>
      </c>
      <c r="AA99" s="44" t="s">
        <v>78</v>
      </c>
      <c r="AB99" s="10" t="s">
        <v>22</v>
      </c>
      <c r="AC99" s="10" t="s">
        <v>77</v>
      </c>
      <c r="AD99" s="44" t="s">
        <v>78</v>
      </c>
      <c r="AQ99" s="35"/>
    </row>
    <row r="100" spans="22:43" ht="15" x14ac:dyDescent="0.25">
      <c r="V100" s="35"/>
      <c r="W100" s="39">
        <f>[2]!linear_intp_2col('Brake capability'!A$7:A$16,'Brake capability'!D$7:D$16,'engine run install'!I65)</f>
        <v>0</v>
      </c>
      <c r="X100" s="39">
        <f>W100/$C$35</f>
        <v>0</v>
      </c>
      <c r="Y100" s="40">
        <f t="shared" ref="Y100:Y111" si="54">-(2*$X100)+AA$59-AA$58+$C$36</f>
        <v>769.49663620924889</v>
      </c>
      <c r="Z100" s="6">
        <f t="shared" ref="Z100:Z111" si="55">Y100/AA$55</f>
        <v>1.457517157996342</v>
      </c>
      <c r="AA100" s="6">
        <f>-Z100/32.2</f>
        <v>-4.5264508012308753E-2</v>
      </c>
      <c r="AB100" s="40">
        <f t="shared" ref="AB100:AB111" si="56">-(2*$X100)+AD$59-AD$58+$C$36</f>
        <v>1.4403812274215397</v>
      </c>
      <c r="AC100" s="6">
        <f t="shared" ref="AC100:AC111" si="57">AB100/AD$55</f>
        <v>3.5677135017671987E-3</v>
      </c>
      <c r="AD100" s="6">
        <f>-AC100/32.2</f>
        <v>-1.1079855595550305E-4</v>
      </c>
      <c r="AQ100" s="35"/>
    </row>
    <row r="101" spans="22:43" ht="15" x14ac:dyDescent="0.25">
      <c r="V101" s="35"/>
      <c r="W101" s="39">
        <f>[2]!linear_intp_2col('Brake capability'!A$7:A$16,'Brake capability'!D$7:D$16,'engine run install'!I66)</f>
        <v>0</v>
      </c>
      <c r="X101" s="39">
        <f>W101/$C$35</f>
        <v>0</v>
      </c>
      <c r="Y101" s="40">
        <f t="shared" si="54"/>
        <v>769.49663620924889</v>
      </c>
      <c r="Z101" s="6">
        <f t="shared" si="55"/>
        <v>1.457517157996342</v>
      </c>
      <c r="AA101" s="6">
        <f>-Z101/32.2</f>
        <v>-4.5264508012308753E-2</v>
      </c>
      <c r="AB101" s="40">
        <f t="shared" si="56"/>
        <v>1.4403812274215397</v>
      </c>
      <c r="AC101" s="6">
        <f t="shared" si="57"/>
        <v>3.5677135017671987E-3</v>
      </c>
      <c r="AD101" s="6">
        <f>-AC101/32.2</f>
        <v>-1.1079855595550305E-4</v>
      </c>
      <c r="AQ101" s="35"/>
    </row>
    <row r="102" spans="22:43" ht="15" x14ac:dyDescent="0.25">
      <c r="V102" s="35"/>
      <c r="W102" s="39">
        <f>[2]!linear_intp_2col('Brake capability'!A$7:A$16,'Brake capability'!D$7:D$16,'engine run install'!I68)</f>
        <v>0</v>
      </c>
      <c r="X102" s="39">
        <f t="shared" ref="X102:X111" si="58">W102/$C$35</f>
        <v>0</v>
      </c>
      <c r="Y102" s="40">
        <f t="shared" si="54"/>
        <v>769.49663620924889</v>
      </c>
      <c r="Z102" s="6">
        <f t="shared" si="55"/>
        <v>1.457517157996342</v>
      </c>
      <c r="AA102" s="6">
        <f t="shared" ref="AA102:AA111" si="59">-Z102/32.2</f>
        <v>-4.5264508012308753E-2</v>
      </c>
      <c r="AB102" s="40">
        <f t="shared" si="56"/>
        <v>1.4403812274215397</v>
      </c>
      <c r="AC102" s="6">
        <f t="shared" si="57"/>
        <v>3.5677135017671987E-3</v>
      </c>
      <c r="AD102" s="6">
        <f t="shared" ref="AD102:AD111" si="60">-AC102/32.2</f>
        <v>-1.1079855595550305E-4</v>
      </c>
      <c r="AQ102" s="35"/>
    </row>
    <row r="103" spans="22:43" ht="15" x14ac:dyDescent="0.25">
      <c r="V103" s="35"/>
      <c r="W103" s="39">
        <f>[2]!linear_intp_2col('Brake capability'!A$7:A$16,'Brake capability'!D$7:D$16,'engine run install'!I69)</f>
        <v>1152.7712002164953</v>
      </c>
      <c r="X103" s="39">
        <f t="shared" si="58"/>
        <v>1269.1059084952242</v>
      </c>
      <c r="Y103" s="40">
        <f t="shared" si="54"/>
        <v>-1768.7151807811993</v>
      </c>
      <c r="Z103" s="6">
        <f t="shared" si="55"/>
        <v>-3.3501546365385071</v>
      </c>
      <c r="AA103" s="6">
        <f t="shared" si="59"/>
        <v>0.1040420694577176</v>
      </c>
      <c r="AB103" s="40">
        <f t="shared" si="56"/>
        <v>-2536.7714357630266</v>
      </c>
      <c r="AC103" s="6">
        <f t="shared" si="57"/>
        <v>-6.2833877101207278</v>
      </c>
      <c r="AD103" s="6">
        <f t="shared" si="60"/>
        <v>0.19513626428946357</v>
      </c>
      <c r="AQ103" s="35"/>
    </row>
    <row r="104" spans="22:43" ht="15" x14ac:dyDescent="0.25">
      <c r="V104" s="35"/>
      <c r="W104" s="39">
        <f>[2]!linear_intp_2col('Brake capability'!A$7:A$16,'Brake capability'!D$7:D$16,'engine run install'!I70)</f>
        <v>2062.2692596311576</v>
      </c>
      <c r="X104" s="85">
        <f t="shared" si="58"/>
        <v>2270.3881757407239</v>
      </c>
      <c r="Y104" s="86">
        <f t="shared" si="54"/>
        <v>-3771.2797152721987</v>
      </c>
      <c r="Z104" s="74">
        <f t="shared" si="55"/>
        <v>-7.1432474606920469</v>
      </c>
      <c r="AA104" s="74">
        <f t="shared" si="59"/>
        <v>0.22183998325130577</v>
      </c>
      <c r="AB104" s="86">
        <f t="shared" si="56"/>
        <v>-4539.3359702540265</v>
      </c>
      <c r="AC104" s="74">
        <f t="shared" si="57"/>
        <v>-11.243586018629205</v>
      </c>
      <c r="AD104" s="74">
        <f t="shared" si="60"/>
        <v>0.34917969001954052</v>
      </c>
      <c r="AQ104" s="35"/>
    </row>
    <row r="105" spans="22:43" ht="15" x14ac:dyDescent="0.25">
      <c r="V105" s="35"/>
      <c r="W105" s="39">
        <f>[2]!linear_intp_2col('Brake capability'!A$7:A$16,'Brake capability'!D$7:D$16,'engine run install'!I71)</f>
        <v>2672.1939588902469</v>
      </c>
      <c r="X105" s="39">
        <f t="shared" si="58"/>
        <v>2941.8649088699967</v>
      </c>
      <c r="Y105" s="40">
        <f t="shared" si="54"/>
        <v>-5114.2331815307443</v>
      </c>
      <c r="Z105" s="6">
        <f t="shared" si="55"/>
        <v>-9.6869593203111748</v>
      </c>
      <c r="AA105" s="6">
        <f t="shared" si="59"/>
        <v>0.30083724597239669</v>
      </c>
      <c r="AB105" s="40">
        <f t="shared" si="56"/>
        <v>-5882.2894365125721</v>
      </c>
      <c r="AC105" s="6">
        <f t="shared" si="57"/>
        <v>-14.569978450438834</v>
      </c>
      <c r="AD105" s="6">
        <f t="shared" si="60"/>
        <v>0.45248380280865941</v>
      </c>
      <c r="AQ105" s="35"/>
    </row>
    <row r="106" spans="22:43" ht="15" x14ac:dyDescent="0.25">
      <c r="V106" s="35"/>
      <c r="W106" s="39">
        <f>[2]!linear_intp_2col('Brake capability'!A$7:A$16,'Brake capability'!D$7:D$16,'engine run install'!I72)</f>
        <v>3257.4955037184909</v>
      </c>
      <c r="X106" s="39">
        <f t="shared" si="58"/>
        <v>3586.2335820754029</v>
      </c>
      <c r="Y106" s="40">
        <f t="shared" si="54"/>
        <v>-6402.9705279415566</v>
      </c>
      <c r="Z106" s="6">
        <f t="shared" si="55"/>
        <v>-12.127979470571654</v>
      </c>
      <c r="AA106" s="6">
        <f t="shared" si="59"/>
        <v>0.37664532517303273</v>
      </c>
      <c r="AB106" s="40">
        <f t="shared" si="56"/>
        <v>-7171.0267829233844</v>
      </c>
      <c r="AC106" s="6">
        <f t="shared" si="57"/>
        <v>-17.762081723856383</v>
      </c>
      <c r="AD106" s="6">
        <f t="shared" si="60"/>
        <v>0.55161744484026032</v>
      </c>
      <c r="AQ106" s="35"/>
    </row>
    <row r="107" spans="22:43" ht="15" x14ac:dyDescent="0.25">
      <c r="V107" s="35"/>
      <c r="W107" s="39">
        <f>[2]!linear_intp_2col('Brake capability'!A$7:A$16,'Brake capability'!D$7:D$16,'engine run install'!I73)</f>
        <v>3761.2605047270281</v>
      </c>
      <c r="X107" s="39">
        <f t="shared" si="58"/>
        <v>4140.83725291049</v>
      </c>
      <c r="Y107" s="40">
        <f t="shared" si="54"/>
        <v>-7512.1778696117308</v>
      </c>
      <c r="Z107" s="6">
        <f t="shared" si="55"/>
        <v>-14.228948670676337</v>
      </c>
      <c r="AA107" s="6">
        <f t="shared" si="59"/>
        <v>0.44189281585951351</v>
      </c>
      <c r="AB107" s="40">
        <f t="shared" si="56"/>
        <v>-8280.2341245935586</v>
      </c>
      <c r="AC107" s="6">
        <f t="shared" si="57"/>
        <v>-20.509502985531739</v>
      </c>
      <c r="AD107" s="6">
        <f t="shared" si="60"/>
        <v>0.63694108650719683</v>
      </c>
      <c r="AQ107" s="35"/>
    </row>
    <row r="108" spans="22:43" ht="15" x14ac:dyDescent="0.25">
      <c r="V108" s="35"/>
      <c r="W108" s="39">
        <f>[2]!linear_intp_2col('Brake capability'!A$7:A$16,'Brake capability'!D$7:D$16,'engine run install'!I74)</f>
        <v>4265.0255057355662</v>
      </c>
      <c r="X108" s="39">
        <f t="shared" si="58"/>
        <v>4695.4409237455775</v>
      </c>
      <c r="Y108" s="40">
        <f t="shared" si="54"/>
        <v>-8621.3852112819059</v>
      </c>
      <c r="Z108" s="6">
        <f t="shared" si="55"/>
        <v>-16.329917870781021</v>
      </c>
      <c r="AA108" s="6">
        <f t="shared" si="59"/>
        <v>0.5071403065459944</v>
      </c>
      <c r="AB108" s="40">
        <f t="shared" si="56"/>
        <v>-9389.4414662637337</v>
      </c>
      <c r="AC108" s="6">
        <f t="shared" si="57"/>
        <v>-23.256924247207095</v>
      </c>
      <c r="AD108" s="6">
        <f t="shared" si="60"/>
        <v>0.72226472817413334</v>
      </c>
      <c r="AQ108" s="35"/>
    </row>
    <row r="109" spans="22:43" ht="15" x14ac:dyDescent="0.25">
      <c r="V109" s="35"/>
      <c r="W109" s="39">
        <f>[2]!linear_intp_2col('Brake capability'!A$7:A$16,'Brake capability'!D$7:D$16,'engine run install'!I75)</f>
        <v>4689.1181414601142</v>
      </c>
      <c r="X109" s="39">
        <f t="shared" si="58"/>
        <v>5162.3318988551719</v>
      </c>
      <c r="Y109" s="40">
        <f t="shared" si="54"/>
        <v>-9555.1671615010946</v>
      </c>
      <c r="Z109" s="6">
        <f t="shared" si="55"/>
        <v>-18.098610741196193</v>
      </c>
      <c r="AA109" s="6">
        <f t="shared" si="59"/>
        <v>0.56206865655888794</v>
      </c>
      <c r="AB109" s="40">
        <f t="shared" si="56"/>
        <v>-10323.223416482922</v>
      </c>
      <c r="AC109" s="6">
        <f t="shared" si="57"/>
        <v>-25.56983030851924</v>
      </c>
      <c r="AD109" s="6">
        <f t="shared" si="60"/>
        <v>0.79409410896022481</v>
      </c>
      <c r="AQ109" s="35"/>
    </row>
    <row r="110" spans="22:43" ht="15" x14ac:dyDescent="0.25">
      <c r="V110" s="35"/>
      <c r="W110" s="39">
        <f>[2]!linear_intp_2col('Brake capability'!A$7:A$16,'Brake capability'!D$7:D$16,'engine run install'!I76)</f>
        <v>5092.2384468229857</v>
      </c>
      <c r="X110" s="39">
        <f t="shared" si="58"/>
        <v>5606.1340698968652</v>
      </c>
      <c r="Y110" s="40">
        <f t="shared" si="54"/>
        <v>-10442.771503584481</v>
      </c>
      <c r="Z110" s="6">
        <f t="shared" si="55"/>
        <v>-19.77983778914237</v>
      </c>
      <c r="AA110" s="50">
        <f t="shared" si="59"/>
        <v>0.61428067668144004</v>
      </c>
      <c r="AB110" s="40">
        <f t="shared" si="56"/>
        <v>-11210.827758566309</v>
      </c>
      <c r="AC110" s="6">
        <f t="shared" si="57"/>
        <v>-27.768357986602705</v>
      </c>
      <c r="AD110" s="50">
        <f t="shared" si="60"/>
        <v>0.86237136604356224</v>
      </c>
      <c r="AQ110" s="35"/>
    </row>
    <row r="111" spans="22:43" ht="15" x14ac:dyDescent="0.25">
      <c r="V111" s="35"/>
      <c r="W111" s="39">
        <f>[2]!linear_intp_2col('Brake capability'!A$7:A$16,'Brake capability'!D$7:D$16,'engine run install'!I77)</f>
        <v>5092.2384468229857</v>
      </c>
      <c r="X111" s="39">
        <f t="shared" si="58"/>
        <v>5606.1340698968652</v>
      </c>
      <c r="Y111" s="40">
        <f t="shared" si="54"/>
        <v>-10442.771503584481</v>
      </c>
      <c r="Z111" s="6">
        <f t="shared" si="55"/>
        <v>-19.77983778914237</v>
      </c>
      <c r="AA111" s="6">
        <f t="shared" si="59"/>
        <v>0.61428067668144004</v>
      </c>
      <c r="AB111" s="40">
        <f t="shared" si="56"/>
        <v>-11210.827758566309</v>
      </c>
      <c r="AC111" s="6">
        <f t="shared" si="57"/>
        <v>-27.768357986602705</v>
      </c>
      <c r="AD111" s="6">
        <f t="shared" si="60"/>
        <v>0.86237136604356224</v>
      </c>
      <c r="AQ111" s="35"/>
    </row>
    <row r="112" spans="22:43" x14ac:dyDescent="0.2">
      <c r="V112" s="35"/>
      <c r="Y112" s="11"/>
      <c r="AQ112" s="35"/>
    </row>
    <row r="113" spans="22:43" x14ac:dyDescent="0.2">
      <c r="V113" s="35"/>
      <c r="Y113" s="11"/>
      <c r="AQ113" s="35"/>
    </row>
    <row r="114" spans="22:43" x14ac:dyDescent="0.2">
      <c r="V114" s="35"/>
      <c r="Y114" s="11"/>
      <c r="AQ114" s="35"/>
    </row>
    <row r="115" spans="22:43" x14ac:dyDescent="0.2">
      <c r="V115" s="35"/>
      <c r="Y115" s="11"/>
      <c r="AQ115" s="35"/>
    </row>
    <row r="116" spans="22:43" x14ac:dyDescent="0.2">
      <c r="V116" s="35"/>
      <c r="Y116" s="11"/>
      <c r="AQ116" s="35"/>
    </row>
    <row r="117" spans="22:43" x14ac:dyDescent="0.2">
      <c r="V117" s="35"/>
      <c r="Y117" s="11"/>
      <c r="AQ117" s="35"/>
    </row>
    <row r="118" spans="22:43" x14ac:dyDescent="0.2">
      <c r="V118" s="35"/>
      <c r="Y118" s="11"/>
      <c r="AQ118" s="35"/>
    </row>
    <row r="119" spans="22:43" x14ac:dyDescent="0.2">
      <c r="V119" s="35"/>
      <c r="Y119" s="11"/>
      <c r="AQ119" s="35"/>
    </row>
    <row r="120" spans="22:43" x14ac:dyDescent="0.2">
      <c r="V120" s="35"/>
      <c r="Y120" s="11"/>
      <c r="AQ120" s="35"/>
    </row>
    <row r="121" spans="22:43" x14ac:dyDescent="0.2">
      <c r="V121" s="35"/>
      <c r="Y121" s="11"/>
      <c r="AQ121" s="35"/>
    </row>
    <row r="122" spans="22:43" x14ac:dyDescent="0.2">
      <c r="V122" s="35"/>
      <c r="Y122" s="11"/>
      <c r="AQ122" s="35"/>
    </row>
    <row r="123" spans="22:43" x14ac:dyDescent="0.2">
      <c r="V123" s="35"/>
      <c r="Y123" s="11"/>
      <c r="AQ123" s="35"/>
    </row>
    <row r="124" spans="22:43" x14ac:dyDescent="0.2">
      <c r="V124" s="35"/>
      <c r="Y124" s="11"/>
      <c r="AQ124" s="35"/>
    </row>
  </sheetData>
  <mergeCells count="6">
    <mergeCell ref="B40:B42"/>
    <mergeCell ref="B43:B45"/>
    <mergeCell ref="K62:U62"/>
    <mergeCell ref="B62:I62"/>
    <mergeCell ref="B50:B53"/>
    <mergeCell ref="B46:B49"/>
  </mergeCells>
  <hyperlinks>
    <hyperlink ref="E18" r:id="rId1" xr:uid="{02DA6B44-0455-4ED7-89D1-BC2FBB1D63F7}"/>
    <hyperlink ref="E19" r:id="rId2" xr:uid="{9956DC89-6E4B-42D2-8F14-7CC82F2195F5}"/>
  </hyperlinks>
  <pageMargins left="0.7" right="0.7" top="0.75" bottom="0.75" header="0.3" footer="0.3"/>
  <pageSetup orientation="portrait" verticalDpi="0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A72E-29F2-4A41-9D9C-EE449B47C024}">
  <dimension ref="A1:E12"/>
  <sheetViews>
    <sheetView zoomScaleNormal="100" workbookViewId="0">
      <selection activeCell="J20" sqref="J20"/>
    </sheetView>
  </sheetViews>
  <sheetFormatPr defaultRowHeight="15" x14ac:dyDescent="0.25"/>
  <cols>
    <col min="1" max="1" width="25.140625" bestFit="1" customWidth="1"/>
    <col min="2" max="2" width="12.5703125" bestFit="1" customWidth="1"/>
    <col min="3" max="4" width="12.5703125" style="89" customWidth="1"/>
  </cols>
  <sheetData>
    <row r="1" spans="1:5" s="89" customFormat="1" x14ac:dyDescent="0.25">
      <c r="B1" s="89" t="s">
        <v>171</v>
      </c>
      <c r="C1" s="89" t="s">
        <v>175</v>
      </c>
      <c r="D1" s="89" t="s">
        <v>174</v>
      </c>
    </row>
    <row r="2" spans="1:5" x14ac:dyDescent="0.25">
      <c r="A2" t="s">
        <v>123</v>
      </c>
      <c r="B2" s="7">
        <v>6</v>
      </c>
      <c r="C2" s="6">
        <f>C7*C5</f>
        <v>12.138529411764702</v>
      </c>
      <c r="D2" s="39">
        <f>B2</f>
        <v>6</v>
      </c>
      <c r="E2" t="s">
        <v>22</v>
      </c>
    </row>
    <row r="3" spans="1:5" x14ac:dyDescent="0.25">
      <c r="A3" t="s">
        <v>124</v>
      </c>
      <c r="B3" s="7">
        <v>23</v>
      </c>
      <c r="D3" s="39">
        <f t="shared" ref="D3:D12" si="0">B3</f>
        <v>23</v>
      </c>
      <c r="E3" t="s">
        <v>22</v>
      </c>
    </row>
    <row r="4" spans="1:5" x14ac:dyDescent="0.25">
      <c r="A4" t="s">
        <v>125</v>
      </c>
      <c r="B4" s="7">
        <v>1.4</v>
      </c>
      <c r="D4" s="53">
        <f t="shared" si="0"/>
        <v>1.4</v>
      </c>
      <c r="E4" t="s">
        <v>1</v>
      </c>
    </row>
    <row r="5" spans="1:5" x14ac:dyDescent="0.25">
      <c r="A5" t="s">
        <v>126</v>
      </c>
      <c r="B5" s="39">
        <f>(B3-B2)/B4</f>
        <v>12.142857142857144</v>
      </c>
      <c r="C5" s="39">
        <v>30</v>
      </c>
      <c r="D5" s="6">
        <f t="shared" si="0"/>
        <v>12.142857142857144</v>
      </c>
      <c r="E5" t="s">
        <v>17</v>
      </c>
    </row>
    <row r="6" spans="1:5" x14ac:dyDescent="0.25">
      <c r="A6" t="s">
        <v>168</v>
      </c>
      <c r="B6" s="16">
        <v>3.5895000000000001</v>
      </c>
      <c r="C6" s="6">
        <v>3.5</v>
      </c>
      <c r="D6" s="6">
        <f t="shared" si="0"/>
        <v>3.5895000000000001</v>
      </c>
      <c r="E6" t="s">
        <v>1</v>
      </c>
    </row>
    <row r="7" spans="1:5" x14ac:dyDescent="0.25">
      <c r="A7" t="s">
        <v>169</v>
      </c>
      <c r="B7" s="6">
        <f>B2/B5</f>
        <v>0.49411764705882349</v>
      </c>
      <c r="C7" s="6">
        <f>C6-$B11</f>
        <v>0.40461764705882342</v>
      </c>
      <c r="D7" s="6">
        <f t="shared" si="0"/>
        <v>0.49411764705882349</v>
      </c>
      <c r="E7" t="s">
        <v>1</v>
      </c>
    </row>
    <row r="8" spans="1:5" x14ac:dyDescent="0.25">
      <c r="A8" t="s">
        <v>170</v>
      </c>
      <c r="B8" s="6">
        <f>B7+B4</f>
        <v>1.8941176470588235</v>
      </c>
      <c r="C8" s="6"/>
      <c r="D8" s="6">
        <f t="shared" si="0"/>
        <v>1.8941176470588235</v>
      </c>
      <c r="E8" t="s">
        <v>1</v>
      </c>
    </row>
    <row r="9" spans="1:5" x14ac:dyDescent="0.25">
      <c r="A9" t="s">
        <v>172</v>
      </c>
      <c r="B9" s="7">
        <v>0.44</v>
      </c>
      <c r="D9" s="6">
        <f t="shared" si="0"/>
        <v>0.44</v>
      </c>
    </row>
    <row r="10" spans="1:5" x14ac:dyDescent="0.25">
      <c r="A10" t="s">
        <v>173</v>
      </c>
      <c r="B10" s="7">
        <v>0.34</v>
      </c>
      <c r="D10" s="6">
        <f t="shared" si="0"/>
        <v>0.34</v>
      </c>
    </row>
    <row r="11" spans="1:5" x14ac:dyDescent="0.25">
      <c r="A11" t="s">
        <v>176</v>
      </c>
      <c r="B11" s="6">
        <f>B6-B7</f>
        <v>3.0953823529411766</v>
      </c>
      <c r="D11" s="6">
        <f t="shared" si="0"/>
        <v>3.0953823529411766</v>
      </c>
    </row>
    <row r="12" spans="1:5" x14ac:dyDescent="0.25">
      <c r="A12" t="s">
        <v>177</v>
      </c>
      <c r="B12" s="6">
        <f>B11-B4</f>
        <v>1.6953823529411767</v>
      </c>
      <c r="D12" s="6">
        <f t="shared" si="0"/>
        <v>1.6953823529411767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0D66-3699-43B3-BD28-A78D25BF2BA6}">
  <dimension ref="A1:Z27"/>
  <sheetViews>
    <sheetView topLeftCell="D1" workbookViewId="0">
      <selection activeCell="T9" sqref="T9"/>
    </sheetView>
  </sheetViews>
  <sheetFormatPr defaultRowHeight="15" x14ac:dyDescent="0.25"/>
  <cols>
    <col min="1" max="19" width="9.140625" style="89"/>
    <col min="22" max="22" width="9.140625" style="89"/>
    <col min="23" max="23" width="9.5703125" style="89" bestFit="1" customWidth="1"/>
    <col min="24" max="24" width="10.28515625" style="89" bestFit="1" customWidth="1"/>
    <col min="25" max="16384" width="9.140625" style="89"/>
  </cols>
  <sheetData>
    <row r="1" spans="1:26" ht="26.25" customHeight="1" x14ac:dyDescent="0.25">
      <c r="T1" s="89"/>
      <c r="U1" s="89"/>
      <c r="W1" s="130" t="s">
        <v>222</v>
      </c>
      <c r="X1" s="130"/>
      <c r="Y1" s="130" t="s">
        <v>223</v>
      </c>
      <c r="Z1" s="130"/>
    </row>
    <row r="2" spans="1:26" x14ac:dyDescent="0.25">
      <c r="A2" s="115"/>
      <c r="B2" s="115"/>
      <c r="C2" s="131" t="s">
        <v>221</v>
      </c>
      <c r="D2" s="131"/>
      <c r="E2" s="130" t="s">
        <v>220</v>
      </c>
      <c r="F2" s="130"/>
      <c r="G2" s="130" t="s">
        <v>219</v>
      </c>
      <c r="H2" s="130"/>
      <c r="I2" s="120"/>
      <c r="J2" s="120"/>
      <c r="K2" s="130" t="s">
        <v>221</v>
      </c>
      <c r="L2" s="130"/>
      <c r="M2" s="120"/>
      <c r="N2" s="130" t="s">
        <v>220</v>
      </c>
      <c r="O2" s="130"/>
      <c r="P2" s="130" t="s">
        <v>219</v>
      </c>
      <c r="Q2" s="130"/>
      <c r="R2" s="130" t="s">
        <v>224</v>
      </c>
      <c r="S2" s="130"/>
      <c r="T2" s="89"/>
      <c r="U2" s="89"/>
      <c r="W2" s="115"/>
      <c r="X2" s="115"/>
      <c r="Y2" s="115"/>
      <c r="Z2" s="115"/>
    </row>
    <row r="3" spans="1:26" x14ac:dyDescent="0.25">
      <c r="A3" s="118"/>
      <c r="B3" s="118" t="s">
        <v>199</v>
      </c>
      <c r="C3" s="118" t="s">
        <v>218</v>
      </c>
      <c r="D3" s="118" t="s">
        <v>217</v>
      </c>
      <c r="E3" s="118" t="s">
        <v>218</v>
      </c>
      <c r="F3" s="118" t="s">
        <v>217</v>
      </c>
      <c r="G3" s="118" t="s">
        <v>218</v>
      </c>
      <c r="H3" s="118" t="s">
        <v>217</v>
      </c>
      <c r="I3" s="118"/>
      <c r="J3" s="118"/>
      <c r="K3" s="118" t="s">
        <v>218</v>
      </c>
      <c r="L3" s="118" t="s">
        <v>217</v>
      </c>
      <c r="M3" s="118"/>
      <c r="N3" s="118" t="s">
        <v>218</v>
      </c>
      <c r="O3" s="118" t="s">
        <v>217</v>
      </c>
      <c r="P3" s="118" t="s">
        <v>218</v>
      </c>
      <c r="Q3" s="118" t="s">
        <v>217</v>
      </c>
      <c r="R3" s="118" t="s">
        <v>218</v>
      </c>
      <c r="S3" s="118" t="s">
        <v>217</v>
      </c>
      <c r="T3" s="132" t="s">
        <v>225</v>
      </c>
      <c r="U3" s="89"/>
      <c r="W3" s="118" t="s">
        <v>218</v>
      </c>
      <c r="X3" s="118" t="s">
        <v>217</v>
      </c>
      <c r="Y3" s="118" t="s">
        <v>218</v>
      </c>
      <c r="Z3" s="118" t="s">
        <v>217</v>
      </c>
    </row>
    <row r="4" spans="1:26" x14ac:dyDescent="0.25">
      <c r="A4" s="116" t="s">
        <v>216</v>
      </c>
      <c r="B4" s="116">
        <v>1</v>
      </c>
      <c r="C4" s="117">
        <v>110</v>
      </c>
      <c r="D4" s="117">
        <v>27</v>
      </c>
      <c r="E4" s="115">
        <v>115</v>
      </c>
      <c r="F4" s="115">
        <v>58</v>
      </c>
      <c r="G4" s="115">
        <v>120</v>
      </c>
      <c r="H4" s="115">
        <v>58</v>
      </c>
      <c r="I4" s="115"/>
      <c r="J4" s="115">
        <v>1</v>
      </c>
      <c r="K4" s="89">
        <f>AVERAGE(C4:C6)</f>
        <v>110</v>
      </c>
      <c r="L4" s="89">
        <f>AVERAGE(D4:D6)</f>
        <v>27</v>
      </c>
      <c r="N4" s="89">
        <f>AVERAGE(E4:E6)</f>
        <v>167.5</v>
      </c>
      <c r="O4" s="89">
        <f>AVERAGE(F4:F6)</f>
        <v>77.5</v>
      </c>
      <c r="P4" s="89">
        <f>AVERAGE(G4:G6)</f>
        <v>155</v>
      </c>
      <c r="Q4" s="89">
        <f>AVERAGE(H4:H6)</f>
        <v>59.333333333333336</v>
      </c>
      <c r="R4" s="89">
        <f>AVERAGE(N4,P4)</f>
        <v>161.25</v>
      </c>
      <c r="S4" s="89">
        <f>AVERAGE(O4,Q4)</f>
        <v>68.416666666666671</v>
      </c>
      <c r="T4" s="89">
        <f>S4-R4</f>
        <v>-92.833333333333329</v>
      </c>
      <c r="U4" s="89"/>
      <c r="W4" s="6">
        <f>[2]!linear_intp_2col('engine run install'!$I$65:$I$77,'engine run install'!$AA$65:$AA$77,R4)</f>
        <v>6.0176014910373464E-2</v>
      </c>
      <c r="X4" s="6">
        <f>[2]!linear_intp_2col('engine run install'!$I$65:$I$77,'engine run install'!$AA$65:$AA$77,S4)</f>
        <v>-4.5264508012308753E-2</v>
      </c>
      <c r="Y4" s="6">
        <f>[2]!linear_intp_2col('engine run install'!$I$65:$I$77,'engine run install'!$AJ$65:$AJ$77,R4)</f>
        <v>8.3569478977081058E-2</v>
      </c>
      <c r="Z4" s="6">
        <f>[2]!linear_intp_2col('engine run install'!$I$65:$I$77,'engine run install'!$AJ$65:$AJ$77,S4)</f>
        <v>-5.4314281767964871E-2</v>
      </c>
    </row>
    <row r="5" spans="1:26" x14ac:dyDescent="0.25">
      <c r="A5" s="116" t="s">
        <v>216</v>
      </c>
      <c r="B5" s="116">
        <v>1</v>
      </c>
      <c r="C5" s="115"/>
      <c r="D5" s="115"/>
      <c r="E5" s="115">
        <v>220</v>
      </c>
      <c r="F5" s="115">
        <v>97</v>
      </c>
      <c r="G5" s="115">
        <v>175</v>
      </c>
      <c r="H5" s="115">
        <v>60</v>
      </c>
      <c r="I5" s="115"/>
      <c r="J5" s="115">
        <v>2</v>
      </c>
      <c r="K5" s="89">
        <f>AVERAGE(C7:C9)</f>
        <v>244</v>
      </c>
      <c r="L5" s="89">
        <f>AVERAGE(D7:D9)</f>
        <v>70</v>
      </c>
      <c r="N5" s="89">
        <f>AVERAGE(E7:E9)</f>
        <v>325</v>
      </c>
      <c r="O5" s="89">
        <f>AVERAGE(F7:F9)</f>
        <v>213</v>
      </c>
      <c r="P5" s="89">
        <f>AVERAGE(G7:G9)</f>
        <v>320</v>
      </c>
      <c r="Q5" s="89">
        <f>AVERAGE(H7:H9)</f>
        <v>204</v>
      </c>
      <c r="R5" s="89">
        <f t="shared" ref="R5:S7" si="0">AVERAGE(N5,P5)</f>
        <v>322.5</v>
      </c>
      <c r="S5" s="89">
        <f t="shared" si="0"/>
        <v>208.5</v>
      </c>
      <c r="T5" s="89">
        <f t="shared" ref="T5:T7" si="1">S5-R5</f>
        <v>-114</v>
      </c>
      <c r="U5" s="89"/>
      <c r="W5" s="6">
        <f>[2]!linear_intp_2col('engine run install'!$I$65:$I$77,'engine run install'!$AA$65:$AA$77,R5)</f>
        <v>0.22500772584587095</v>
      </c>
      <c r="X5" s="6">
        <f>[2]!linear_intp_2col('engine run install'!$I$65:$I$77,'engine run install'!$AA$65:$AA$77,S5)</f>
        <v>0.11758474610843496</v>
      </c>
      <c r="Y5" s="6">
        <f>[2]!linear_intp_2col('engine run install'!$I$65:$I$77,'engine run install'!$AJ$65:$AJ$77,R5)</f>
        <v>0.29911863943119321</v>
      </c>
      <c r="Z5" s="6">
        <f>[2]!linear_intp_2col('engine run install'!$I$65:$I$77,'engine run install'!$AJ$65:$AJ$77,S5)</f>
        <v>0.15864243515916154</v>
      </c>
    </row>
    <row r="6" spans="1:26" x14ac:dyDescent="0.25">
      <c r="A6" s="119" t="s">
        <v>216</v>
      </c>
      <c r="B6" s="119">
        <v>1</v>
      </c>
      <c r="C6" s="118"/>
      <c r="D6" s="118"/>
      <c r="E6" s="118"/>
      <c r="F6" s="118"/>
      <c r="G6" s="118">
        <v>170</v>
      </c>
      <c r="H6" s="118">
        <v>60</v>
      </c>
      <c r="I6" s="115"/>
      <c r="J6" s="115">
        <v>3</v>
      </c>
      <c r="K6" s="89">
        <f>AVERAGE(C10:C12)</f>
        <v>397.5</v>
      </c>
      <c r="L6" s="89">
        <f>AVERAGE(D10:D12)</f>
        <v>185.5</v>
      </c>
      <c r="N6" s="89">
        <f>AVERAGE(E10:E12)</f>
        <v>504</v>
      </c>
      <c r="O6" s="89">
        <f>AVERAGE(F10:F12)</f>
        <v>436</v>
      </c>
      <c r="P6" s="89">
        <f>AVERAGE(G10:G12)</f>
        <v>480.33333333333331</v>
      </c>
      <c r="Q6" s="89">
        <f>AVERAGE(H10:H12)</f>
        <v>360</v>
      </c>
      <c r="R6" s="89">
        <f t="shared" si="0"/>
        <v>492.16666666666663</v>
      </c>
      <c r="S6" s="89">
        <f t="shared" si="0"/>
        <v>398</v>
      </c>
      <c r="T6" s="89">
        <f t="shared" si="1"/>
        <v>-94.166666666666629</v>
      </c>
      <c r="U6" s="89"/>
      <c r="W6" s="6">
        <f>[2]!linear_intp_2col('engine run install'!$I$65:$I$77,'engine run install'!$AA$65:$AA$77,R6)</f>
        <v>0.34347635230031504</v>
      </c>
      <c r="X6" s="6">
        <f>[2]!linear_intp_2col('engine run install'!$I$65:$I$77,'engine run install'!$AA$65:$AA$77,S6)</f>
        <v>0.27998728645605447</v>
      </c>
      <c r="Y6" s="6">
        <f>[2]!linear_intp_2col('engine run install'!$I$65:$I$77,'engine run install'!$AJ$65:$AJ$77,R6)</f>
        <v>0.45403915094854319</v>
      </c>
      <c r="Z6" s="6">
        <f>[2]!linear_intp_2col('engine run install'!$I$65:$I$77,'engine run install'!$AJ$65:$AJ$77,S6)</f>
        <v>0.37101498792143317</v>
      </c>
    </row>
    <row r="7" spans="1:26" x14ac:dyDescent="0.25">
      <c r="A7" s="116" t="s">
        <v>215</v>
      </c>
      <c r="B7" s="116">
        <v>2</v>
      </c>
      <c r="C7" s="117">
        <v>223</v>
      </c>
      <c r="D7" s="117">
        <v>36</v>
      </c>
      <c r="E7" s="115">
        <v>322</v>
      </c>
      <c r="F7" s="115">
        <v>206</v>
      </c>
      <c r="G7" s="115">
        <v>250</v>
      </c>
      <c r="H7" s="115">
        <v>162</v>
      </c>
      <c r="I7" s="115"/>
      <c r="J7" s="115">
        <v>4</v>
      </c>
      <c r="K7" s="89">
        <f>AVERAGE(C13:C15)</f>
        <v>610</v>
      </c>
      <c r="L7" s="89">
        <f>AVERAGE(D13:D15)</f>
        <v>385</v>
      </c>
      <c r="N7" s="89">
        <f>AVERAGE(E13:E15)</f>
        <v>730</v>
      </c>
      <c r="O7" s="89">
        <f>AVERAGE(F13:F15)</f>
        <v>610.5</v>
      </c>
      <c r="P7" s="89">
        <f>AVERAGE(G13:G15)</f>
        <v>645</v>
      </c>
      <c r="Q7" s="89">
        <f>AVERAGE(H13:H15)</f>
        <v>513.5</v>
      </c>
      <c r="R7" s="89">
        <f t="shared" si="0"/>
        <v>687.5</v>
      </c>
      <c r="S7" s="89">
        <f t="shared" si="0"/>
        <v>562</v>
      </c>
      <c r="T7" s="89">
        <f t="shared" si="1"/>
        <v>-125.5</v>
      </c>
      <c r="U7" s="89"/>
      <c r="W7" s="6">
        <f>[2]!linear_intp_2col('engine run install'!$I$65:$I$77,'engine run install'!$AA$65:$AA$77,R7)</f>
        <v>0.45870784696443051</v>
      </c>
      <c r="X7" s="6">
        <f>[2]!linear_intp_2col('engine run install'!$I$65:$I$77,'engine run install'!$AA$65:$AA$77,S7)</f>
        <v>0.38625901996671591</v>
      </c>
      <c r="Y7" s="6">
        <f>[2]!linear_intp_2col('engine run install'!$I$65:$I$77,'engine run install'!$AJ$65:$AJ$77,R7)</f>
        <v>0.60472649012469415</v>
      </c>
      <c r="Z7" s="6">
        <f>[2]!linear_intp_2col('engine run install'!$I$65:$I$77,'engine run install'!$AJ$65:$AJ$77,S7)</f>
        <v>0.50998571635845202</v>
      </c>
    </row>
    <row r="8" spans="1:26" x14ac:dyDescent="0.25">
      <c r="A8" s="116" t="s">
        <v>215</v>
      </c>
      <c r="B8" s="116">
        <v>2</v>
      </c>
      <c r="C8" s="117">
        <v>265</v>
      </c>
      <c r="D8" s="117">
        <v>104</v>
      </c>
      <c r="E8" s="115">
        <v>328</v>
      </c>
      <c r="F8" s="115">
        <v>220</v>
      </c>
      <c r="G8" s="115">
        <v>360</v>
      </c>
      <c r="H8" s="115">
        <v>220</v>
      </c>
      <c r="I8" s="115"/>
      <c r="J8" s="115"/>
      <c r="K8" s="115"/>
      <c r="L8" s="115"/>
      <c r="M8" s="115"/>
      <c r="T8" s="89"/>
      <c r="U8" s="89"/>
    </row>
    <row r="9" spans="1:26" x14ac:dyDescent="0.25">
      <c r="A9" s="119" t="s">
        <v>215</v>
      </c>
      <c r="B9" s="119">
        <v>2</v>
      </c>
      <c r="C9" s="118"/>
      <c r="D9" s="118"/>
      <c r="E9" s="118"/>
      <c r="F9" s="118"/>
      <c r="G9" s="118">
        <v>350</v>
      </c>
      <c r="H9" s="118">
        <v>230</v>
      </c>
      <c r="I9" s="115"/>
      <c r="J9" s="115"/>
      <c r="K9" s="115"/>
      <c r="L9" s="115"/>
      <c r="M9" s="115"/>
      <c r="T9" s="89" t="e" cm="1">
        <f t="array" ref="T9">avg</f>
        <v>#NAME?</v>
      </c>
      <c r="U9" s="89"/>
    </row>
    <row r="10" spans="1:26" x14ac:dyDescent="0.25">
      <c r="A10" s="116" t="s">
        <v>214</v>
      </c>
      <c r="B10" s="116">
        <v>3</v>
      </c>
      <c r="C10" s="117">
        <v>359</v>
      </c>
      <c r="D10" s="117">
        <v>130</v>
      </c>
      <c r="E10" s="115">
        <v>502</v>
      </c>
      <c r="F10" s="115">
        <v>422</v>
      </c>
      <c r="G10" s="115">
        <v>480</v>
      </c>
      <c r="H10" s="115">
        <v>360</v>
      </c>
      <c r="I10" s="115"/>
      <c r="J10" s="115"/>
      <c r="K10" s="115"/>
      <c r="L10" s="115"/>
      <c r="M10" s="115"/>
      <c r="T10" s="89"/>
      <c r="U10" s="89"/>
    </row>
    <row r="11" spans="1:26" x14ac:dyDescent="0.25">
      <c r="A11" s="116" t="s">
        <v>214</v>
      </c>
      <c r="B11" s="116">
        <v>3</v>
      </c>
      <c r="C11" s="117">
        <v>436</v>
      </c>
      <c r="D11" s="117">
        <v>241</v>
      </c>
      <c r="E11" s="115">
        <v>506</v>
      </c>
      <c r="F11" s="115">
        <v>450</v>
      </c>
      <c r="G11" s="115">
        <v>481</v>
      </c>
      <c r="H11" s="115">
        <v>360</v>
      </c>
      <c r="I11" s="115"/>
      <c r="J11" s="115"/>
      <c r="K11" s="115"/>
      <c r="L11" s="115"/>
      <c r="M11" s="115"/>
      <c r="T11" s="89"/>
      <c r="U11" s="89"/>
    </row>
    <row r="12" spans="1:26" x14ac:dyDescent="0.25">
      <c r="A12" s="119" t="s">
        <v>214</v>
      </c>
      <c r="B12" s="119">
        <v>3</v>
      </c>
      <c r="C12" s="118"/>
      <c r="D12" s="118"/>
      <c r="E12" s="118"/>
      <c r="F12" s="118"/>
      <c r="G12" s="118">
        <v>480</v>
      </c>
      <c r="H12" s="118">
        <v>360</v>
      </c>
      <c r="I12" s="115"/>
      <c r="J12" s="115"/>
      <c r="K12" s="115"/>
      <c r="L12" s="115"/>
      <c r="M12" s="115"/>
      <c r="T12" s="89"/>
      <c r="U12" s="89"/>
    </row>
    <row r="13" spans="1:26" x14ac:dyDescent="0.25">
      <c r="A13" s="116" t="s">
        <v>213</v>
      </c>
      <c r="B13" s="116">
        <v>4</v>
      </c>
      <c r="C13" s="117">
        <v>620</v>
      </c>
      <c r="D13" s="117">
        <v>420</v>
      </c>
      <c r="E13" s="115">
        <v>730</v>
      </c>
      <c r="F13" s="115">
        <v>591</v>
      </c>
      <c r="G13" s="115">
        <v>640</v>
      </c>
      <c r="H13" s="115">
        <v>515</v>
      </c>
      <c r="I13" s="115"/>
      <c r="J13" s="115"/>
      <c r="K13" s="115"/>
      <c r="L13" s="115"/>
      <c r="M13" s="115"/>
      <c r="T13" s="89"/>
      <c r="U13" s="89"/>
    </row>
    <row r="14" spans="1:26" x14ac:dyDescent="0.25">
      <c r="A14" s="116" t="s">
        <v>213</v>
      </c>
      <c r="B14" s="116">
        <v>4</v>
      </c>
      <c r="C14" s="117">
        <v>600</v>
      </c>
      <c r="D14" s="117">
        <v>350</v>
      </c>
      <c r="E14" s="115"/>
      <c r="F14" s="115">
        <v>630</v>
      </c>
      <c r="G14" s="115">
        <v>650</v>
      </c>
      <c r="H14" s="115">
        <v>512</v>
      </c>
      <c r="I14" s="115"/>
      <c r="J14" s="115"/>
      <c r="K14" s="115"/>
      <c r="L14" s="115"/>
      <c r="M14" s="115"/>
      <c r="T14" s="89"/>
      <c r="U14" s="89"/>
    </row>
    <row r="15" spans="1:26" x14ac:dyDescent="0.25">
      <c r="A15" s="116" t="s">
        <v>213</v>
      </c>
      <c r="B15" s="116">
        <v>4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T15" s="89"/>
      <c r="U15" s="89"/>
    </row>
    <row r="17" spans="1:21" x14ac:dyDescent="0.25">
      <c r="T17" s="89"/>
      <c r="U17" s="89"/>
    </row>
    <row r="20" spans="1:21" x14ac:dyDescent="0.25">
      <c r="A20" s="114" t="s">
        <v>212</v>
      </c>
      <c r="T20" s="89"/>
      <c r="U20" s="89"/>
    </row>
    <row r="21" spans="1:21" x14ac:dyDescent="0.25">
      <c r="A21" s="89" t="s">
        <v>211</v>
      </c>
      <c r="T21" s="89"/>
      <c r="U21" s="89"/>
    </row>
    <row r="22" spans="1:21" x14ac:dyDescent="0.25">
      <c r="A22" s="89" t="s">
        <v>210</v>
      </c>
      <c r="T22" s="89"/>
      <c r="U22" s="89"/>
    </row>
    <row r="23" spans="1:21" x14ac:dyDescent="0.25">
      <c r="A23" s="89" t="s">
        <v>209</v>
      </c>
      <c r="T23" s="89"/>
      <c r="U23" s="89"/>
    </row>
    <row r="24" spans="1:21" x14ac:dyDescent="0.25">
      <c r="A24" s="89" t="s">
        <v>208</v>
      </c>
      <c r="T24" s="89"/>
      <c r="U24" s="89"/>
    </row>
    <row r="25" spans="1:21" x14ac:dyDescent="0.25">
      <c r="A25" s="89" t="s">
        <v>207</v>
      </c>
      <c r="T25" s="89"/>
      <c r="U25" s="89"/>
    </row>
    <row r="26" spans="1:21" x14ac:dyDescent="0.25">
      <c r="A26" s="89" t="s">
        <v>206</v>
      </c>
      <c r="T26" s="89"/>
      <c r="U26" s="89"/>
    </row>
    <row r="27" spans="1:21" x14ac:dyDescent="0.25">
      <c r="A27" s="89" t="s">
        <v>205</v>
      </c>
      <c r="T27" s="89"/>
      <c r="U27" s="89"/>
    </row>
  </sheetData>
  <mergeCells count="9">
    <mergeCell ref="C2:D2"/>
    <mergeCell ref="E2:F2"/>
    <mergeCell ref="W1:X1"/>
    <mergeCell ref="Y1:Z1"/>
    <mergeCell ref="R2:S2"/>
    <mergeCell ref="G2:H2"/>
    <mergeCell ref="N2:O2"/>
    <mergeCell ref="P2:Q2"/>
    <mergeCell ref="K2:L2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Brake capability</vt:lpstr>
      <vt:lpstr>pedal model</vt:lpstr>
      <vt:lpstr>Brake feel deisgn space</vt:lpstr>
      <vt:lpstr>engine run install</vt:lpstr>
      <vt:lpstr>master cylinder spring</vt:lpstr>
      <vt:lpstr>429 brake feel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Fellman</dc:creator>
  <cp:lastModifiedBy>Clayton Fellman</cp:lastModifiedBy>
  <dcterms:created xsi:type="dcterms:W3CDTF">2021-06-30T17:28:10Z</dcterms:created>
  <dcterms:modified xsi:type="dcterms:W3CDTF">2022-05-02T03:35:03Z</dcterms:modified>
</cp:coreProperties>
</file>